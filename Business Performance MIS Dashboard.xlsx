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ing by Abhinav - Github\DA-Projects-hidden-\"/>
    </mc:Choice>
  </mc:AlternateContent>
  <xr:revisionPtr revIDLastSave="0" documentId="13_ncr:1_{9A15EA64-9588-4A8F-AD19-823483104C1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roject Overview" sheetId="1" r:id="rId1"/>
    <sheet name="Raw_Data" sheetId="2" r:id="rId2"/>
    <sheet name="Reps" sheetId="3" r:id="rId3"/>
    <sheet name="Targets" sheetId="4" r:id="rId4"/>
    <sheet name="Cleaned_Data" sheetId="6" r:id="rId5"/>
    <sheet name="Analysis" sheetId="7" r:id="rId6"/>
    <sheet name="Pivot false" sheetId="8" state="hidden" r:id="rId7"/>
    <sheet name="Pivot" sheetId="9" r:id="rId8"/>
    <sheet name="Dashboard" sheetId="10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0" l="1"/>
  <c r="I10" i="10"/>
  <c r="I9" i="10"/>
  <c r="I8" i="10"/>
  <c r="I7" i="10"/>
  <c r="I6" i="10"/>
  <c r="I3" i="6"/>
  <c r="I4" i="6"/>
  <c r="I5" i="6"/>
  <c r="M5" i="6" s="1"/>
  <c r="I6" i="6"/>
  <c r="I7" i="6"/>
  <c r="I8" i="6"/>
  <c r="I9" i="6"/>
  <c r="M9" i="6" s="1"/>
  <c r="I10" i="6"/>
  <c r="M10" i="6" s="1"/>
  <c r="I11" i="6"/>
  <c r="I12" i="6"/>
  <c r="I13" i="6"/>
  <c r="M13" i="6" s="1"/>
  <c r="I14" i="6"/>
  <c r="I15" i="6"/>
  <c r="I16" i="6"/>
  <c r="I17" i="6"/>
  <c r="M17" i="6" s="1"/>
  <c r="I18" i="6"/>
  <c r="M18" i="6" s="1"/>
  <c r="I19" i="6"/>
  <c r="I20" i="6"/>
  <c r="I21" i="6"/>
  <c r="M21" i="6" s="1"/>
  <c r="I22" i="6"/>
  <c r="I23" i="6"/>
  <c r="I24" i="6"/>
  <c r="I25" i="6"/>
  <c r="M25" i="6" s="1"/>
  <c r="I26" i="6"/>
  <c r="M26" i="6" s="1"/>
  <c r="I27" i="6"/>
  <c r="I28" i="6"/>
  <c r="I29" i="6"/>
  <c r="M29" i="6" s="1"/>
  <c r="I30" i="6"/>
  <c r="I31" i="6"/>
  <c r="I32" i="6"/>
  <c r="I33" i="6"/>
  <c r="M33" i="6" s="1"/>
  <c r="I34" i="6"/>
  <c r="M34" i="6" s="1"/>
  <c r="I35" i="6"/>
  <c r="I36" i="6"/>
  <c r="I37" i="6"/>
  <c r="M37" i="6" s="1"/>
  <c r="I38" i="6"/>
  <c r="I39" i="6"/>
  <c r="I40" i="6"/>
  <c r="I41" i="6"/>
  <c r="M41" i="6" s="1"/>
  <c r="I42" i="6"/>
  <c r="M42" i="6" s="1"/>
  <c r="I43" i="6"/>
  <c r="I44" i="6"/>
  <c r="I45" i="6"/>
  <c r="M45" i="6" s="1"/>
  <c r="I46" i="6"/>
  <c r="I47" i="6"/>
  <c r="I48" i="6"/>
  <c r="I49" i="6"/>
  <c r="M49" i="6" s="1"/>
  <c r="I50" i="6"/>
  <c r="M50" i="6" s="1"/>
  <c r="I51" i="6"/>
  <c r="I52" i="6"/>
  <c r="I53" i="6"/>
  <c r="M53" i="6" s="1"/>
  <c r="I54" i="6"/>
  <c r="I55" i="6"/>
  <c r="I56" i="6"/>
  <c r="I57" i="6"/>
  <c r="M57" i="6" s="1"/>
  <c r="I58" i="6"/>
  <c r="M58" i="6" s="1"/>
  <c r="I59" i="6"/>
  <c r="I60" i="6"/>
  <c r="I61" i="6"/>
  <c r="M61" i="6" s="1"/>
  <c r="I62" i="6"/>
  <c r="I63" i="6"/>
  <c r="I64" i="6"/>
  <c r="I65" i="6"/>
  <c r="M65" i="6" s="1"/>
  <c r="I66" i="6"/>
  <c r="M66" i="6" s="1"/>
  <c r="I67" i="6"/>
  <c r="I68" i="6"/>
  <c r="I69" i="6"/>
  <c r="M69" i="6" s="1"/>
  <c r="I70" i="6"/>
  <c r="I71" i="6"/>
  <c r="I72" i="6"/>
  <c r="I73" i="6"/>
  <c r="M73" i="6" s="1"/>
  <c r="I74" i="6"/>
  <c r="M74" i="6" s="1"/>
  <c r="I75" i="6"/>
  <c r="I76" i="6"/>
  <c r="I77" i="6"/>
  <c r="M77" i="6" s="1"/>
  <c r="I78" i="6"/>
  <c r="I79" i="6"/>
  <c r="I80" i="6"/>
  <c r="I81" i="6"/>
  <c r="M81" i="6" s="1"/>
  <c r="I82" i="6"/>
  <c r="M82" i="6" s="1"/>
  <c r="I83" i="6"/>
  <c r="I84" i="6"/>
  <c r="I85" i="6"/>
  <c r="M85" i="6" s="1"/>
  <c r="I86" i="6"/>
  <c r="I87" i="6"/>
  <c r="I88" i="6"/>
  <c r="I89" i="6"/>
  <c r="M89" i="6" s="1"/>
  <c r="I90" i="6"/>
  <c r="M90" i="6" s="1"/>
  <c r="I91" i="6"/>
  <c r="I92" i="6"/>
  <c r="I93" i="6"/>
  <c r="M93" i="6" s="1"/>
  <c r="I94" i="6"/>
  <c r="I95" i="6"/>
  <c r="I96" i="6"/>
  <c r="I97" i="6"/>
  <c r="M97" i="6" s="1"/>
  <c r="I98" i="6"/>
  <c r="M98" i="6" s="1"/>
  <c r="I99" i="6"/>
  <c r="I100" i="6"/>
  <c r="I101" i="6"/>
  <c r="M101" i="6" s="1"/>
  <c r="I102" i="6"/>
  <c r="I103" i="6"/>
  <c r="I104" i="6"/>
  <c r="I105" i="6"/>
  <c r="M105" i="6" s="1"/>
  <c r="I106" i="6"/>
  <c r="M106" i="6" s="1"/>
  <c r="I107" i="6"/>
  <c r="I108" i="6"/>
  <c r="I109" i="6"/>
  <c r="M109" i="6" s="1"/>
  <c r="I110" i="6"/>
  <c r="I111" i="6"/>
  <c r="I112" i="6"/>
  <c r="I113" i="6"/>
  <c r="M113" i="6" s="1"/>
  <c r="I114" i="6"/>
  <c r="M114" i="6" s="1"/>
  <c r="I115" i="6"/>
  <c r="I116" i="6"/>
  <c r="I117" i="6"/>
  <c r="M117" i="6" s="1"/>
  <c r="I118" i="6"/>
  <c r="I119" i="6"/>
  <c r="I120" i="6"/>
  <c r="I121" i="6"/>
  <c r="M121" i="6" s="1"/>
  <c r="I122" i="6"/>
  <c r="M122" i="6" s="1"/>
  <c r="I123" i="6"/>
  <c r="I124" i="6"/>
  <c r="I125" i="6"/>
  <c r="M125" i="6" s="1"/>
  <c r="I126" i="6"/>
  <c r="I127" i="6"/>
  <c r="I128" i="6"/>
  <c r="I129" i="6"/>
  <c r="M129" i="6" s="1"/>
  <c r="I130" i="6"/>
  <c r="M130" i="6" s="1"/>
  <c r="I131" i="6"/>
  <c r="I132" i="6"/>
  <c r="I133" i="6"/>
  <c r="M133" i="6" s="1"/>
  <c r="I134" i="6"/>
  <c r="I135" i="6"/>
  <c r="I136" i="6"/>
  <c r="I137" i="6"/>
  <c r="M137" i="6" s="1"/>
  <c r="I138" i="6"/>
  <c r="M138" i="6" s="1"/>
  <c r="I139" i="6"/>
  <c r="I140" i="6"/>
  <c r="I141" i="6"/>
  <c r="M141" i="6" s="1"/>
  <c r="I142" i="6"/>
  <c r="I143" i="6"/>
  <c r="I144" i="6"/>
  <c r="I145" i="6"/>
  <c r="M145" i="6" s="1"/>
  <c r="I146" i="6"/>
  <c r="M146" i="6" s="1"/>
  <c r="I147" i="6"/>
  <c r="I148" i="6"/>
  <c r="I149" i="6"/>
  <c r="M149" i="6" s="1"/>
  <c r="I150" i="6"/>
  <c r="I151" i="6"/>
  <c r="I152" i="6"/>
  <c r="I153" i="6"/>
  <c r="M153" i="6" s="1"/>
  <c r="I154" i="6"/>
  <c r="M154" i="6" s="1"/>
  <c r="I155" i="6"/>
  <c r="I156" i="6"/>
  <c r="I157" i="6"/>
  <c r="M157" i="6" s="1"/>
  <c r="I158" i="6"/>
  <c r="I159" i="6"/>
  <c r="I160" i="6"/>
  <c r="I161" i="6"/>
  <c r="M161" i="6" s="1"/>
  <c r="I162" i="6"/>
  <c r="M162" i="6" s="1"/>
  <c r="I163" i="6"/>
  <c r="I164" i="6"/>
  <c r="I165" i="6"/>
  <c r="M165" i="6" s="1"/>
  <c r="I166" i="6"/>
  <c r="I167" i="6"/>
  <c r="I168" i="6"/>
  <c r="I169" i="6"/>
  <c r="M169" i="6" s="1"/>
  <c r="I170" i="6"/>
  <c r="M170" i="6" s="1"/>
  <c r="I171" i="6"/>
  <c r="I172" i="6"/>
  <c r="I173" i="6"/>
  <c r="M173" i="6" s="1"/>
  <c r="I174" i="6"/>
  <c r="I175" i="6"/>
  <c r="I176" i="6"/>
  <c r="I177" i="6"/>
  <c r="M177" i="6" s="1"/>
  <c r="I178" i="6"/>
  <c r="M178" i="6" s="1"/>
  <c r="I179" i="6"/>
  <c r="I180" i="6"/>
  <c r="I181" i="6"/>
  <c r="M181" i="6" s="1"/>
  <c r="I182" i="6"/>
  <c r="I183" i="6"/>
  <c r="I184" i="6"/>
  <c r="I185" i="6"/>
  <c r="M185" i="6" s="1"/>
  <c r="I186" i="6"/>
  <c r="M186" i="6" s="1"/>
  <c r="I187" i="6"/>
  <c r="I188" i="6"/>
  <c r="I189" i="6"/>
  <c r="M189" i="6" s="1"/>
  <c r="I190" i="6"/>
  <c r="I191" i="6"/>
  <c r="I192" i="6"/>
  <c r="I193" i="6"/>
  <c r="M193" i="6" s="1"/>
  <c r="I194" i="6"/>
  <c r="M194" i="6" s="1"/>
  <c r="I195" i="6"/>
  <c r="I196" i="6"/>
  <c r="I197" i="6"/>
  <c r="M197" i="6" s="1"/>
  <c r="I198" i="6"/>
  <c r="I199" i="6"/>
  <c r="I200" i="6"/>
  <c r="I201" i="6"/>
  <c r="M201" i="6" s="1"/>
  <c r="I202" i="6"/>
  <c r="M202" i="6" s="1"/>
  <c r="I203" i="6"/>
  <c r="I204" i="6"/>
  <c r="I205" i="6"/>
  <c r="M205" i="6" s="1"/>
  <c r="I206" i="6"/>
  <c r="I207" i="6"/>
  <c r="I208" i="6"/>
  <c r="I209" i="6"/>
  <c r="M209" i="6" s="1"/>
  <c r="I210" i="6"/>
  <c r="M210" i="6" s="1"/>
  <c r="I211" i="6"/>
  <c r="I212" i="6"/>
  <c r="I213" i="6"/>
  <c r="M213" i="6" s="1"/>
  <c r="I214" i="6"/>
  <c r="I215" i="6"/>
  <c r="I216" i="6"/>
  <c r="I217" i="6"/>
  <c r="M217" i="6" s="1"/>
  <c r="I218" i="6"/>
  <c r="M218" i="6" s="1"/>
  <c r="I219" i="6"/>
  <c r="I220" i="6"/>
  <c r="I221" i="6"/>
  <c r="M221" i="6" s="1"/>
  <c r="I222" i="6"/>
  <c r="I223" i="6"/>
  <c r="I224" i="6"/>
  <c r="I225" i="6"/>
  <c r="M225" i="6" s="1"/>
  <c r="I226" i="6"/>
  <c r="M226" i="6" s="1"/>
  <c r="I227" i="6"/>
  <c r="I228" i="6"/>
  <c r="I229" i="6"/>
  <c r="M229" i="6" s="1"/>
  <c r="I230" i="6"/>
  <c r="I231" i="6"/>
  <c r="I232" i="6"/>
  <c r="I233" i="6"/>
  <c r="M233" i="6" s="1"/>
  <c r="I234" i="6"/>
  <c r="M234" i="6" s="1"/>
  <c r="I235" i="6"/>
  <c r="I236" i="6"/>
  <c r="M3" i="6"/>
  <c r="M4" i="6"/>
  <c r="M6" i="6"/>
  <c r="M7" i="6"/>
  <c r="M8" i="6"/>
  <c r="M11" i="6"/>
  <c r="M12" i="6"/>
  <c r="M14" i="6"/>
  <c r="M15" i="6"/>
  <c r="M16" i="6"/>
  <c r="M19" i="6"/>
  <c r="M20" i="6"/>
  <c r="M22" i="6"/>
  <c r="M23" i="6"/>
  <c r="M24" i="6"/>
  <c r="M27" i="6"/>
  <c r="M28" i="6"/>
  <c r="M30" i="6"/>
  <c r="M31" i="6"/>
  <c r="M32" i="6"/>
  <c r="M35" i="6"/>
  <c r="M36" i="6"/>
  <c r="M38" i="6"/>
  <c r="M39" i="6"/>
  <c r="M40" i="6"/>
  <c r="M43" i="6"/>
  <c r="M44" i="6"/>
  <c r="M46" i="6"/>
  <c r="M47" i="6"/>
  <c r="M48" i="6"/>
  <c r="M51" i="6"/>
  <c r="M52" i="6"/>
  <c r="M54" i="6"/>
  <c r="M55" i="6"/>
  <c r="M56" i="6"/>
  <c r="M59" i="6"/>
  <c r="M60" i="6"/>
  <c r="M62" i="6"/>
  <c r="M63" i="6"/>
  <c r="M64" i="6"/>
  <c r="M67" i="6"/>
  <c r="M68" i="6"/>
  <c r="M70" i="6"/>
  <c r="M71" i="6"/>
  <c r="M72" i="6"/>
  <c r="M75" i="6"/>
  <c r="M76" i="6"/>
  <c r="M78" i="6"/>
  <c r="M79" i="6"/>
  <c r="M80" i="6"/>
  <c r="M83" i="6"/>
  <c r="M84" i="6"/>
  <c r="M86" i="6"/>
  <c r="M87" i="6"/>
  <c r="M88" i="6"/>
  <c r="M91" i="6"/>
  <c r="M92" i="6"/>
  <c r="M94" i="6"/>
  <c r="M95" i="6"/>
  <c r="M96" i="6"/>
  <c r="M99" i="6"/>
  <c r="M100" i="6"/>
  <c r="M102" i="6"/>
  <c r="M103" i="6"/>
  <c r="M104" i="6"/>
  <c r="M107" i="6"/>
  <c r="M108" i="6"/>
  <c r="M110" i="6"/>
  <c r="M111" i="6"/>
  <c r="M112" i="6"/>
  <c r="M115" i="6"/>
  <c r="M116" i="6"/>
  <c r="M118" i="6"/>
  <c r="M119" i="6"/>
  <c r="M120" i="6"/>
  <c r="M123" i="6"/>
  <c r="M124" i="6"/>
  <c r="M126" i="6"/>
  <c r="M127" i="6"/>
  <c r="M128" i="6"/>
  <c r="M131" i="6"/>
  <c r="M132" i="6"/>
  <c r="M134" i="6"/>
  <c r="M135" i="6"/>
  <c r="M136" i="6"/>
  <c r="M139" i="6"/>
  <c r="M140" i="6"/>
  <c r="M142" i="6"/>
  <c r="M143" i="6"/>
  <c r="M144" i="6"/>
  <c r="M147" i="6"/>
  <c r="M148" i="6"/>
  <c r="M150" i="6"/>
  <c r="M151" i="6"/>
  <c r="M152" i="6"/>
  <c r="M155" i="6"/>
  <c r="M156" i="6"/>
  <c r="M158" i="6"/>
  <c r="M159" i="6"/>
  <c r="M160" i="6"/>
  <c r="M163" i="6"/>
  <c r="M164" i="6"/>
  <c r="M166" i="6"/>
  <c r="M167" i="6"/>
  <c r="M168" i="6"/>
  <c r="M171" i="6"/>
  <c r="M172" i="6"/>
  <c r="M174" i="6"/>
  <c r="M175" i="6"/>
  <c r="M176" i="6"/>
  <c r="M179" i="6"/>
  <c r="M180" i="6"/>
  <c r="M182" i="6"/>
  <c r="M183" i="6"/>
  <c r="M184" i="6"/>
  <c r="M187" i="6"/>
  <c r="M188" i="6"/>
  <c r="M190" i="6"/>
  <c r="M191" i="6"/>
  <c r="M192" i="6"/>
  <c r="M195" i="6"/>
  <c r="M196" i="6"/>
  <c r="M198" i="6"/>
  <c r="M199" i="6"/>
  <c r="M200" i="6"/>
  <c r="M203" i="6"/>
  <c r="M204" i="6"/>
  <c r="M206" i="6"/>
  <c r="M207" i="6"/>
  <c r="M208" i="6"/>
  <c r="M211" i="6"/>
  <c r="M212" i="6"/>
  <c r="M214" i="6"/>
  <c r="M215" i="6"/>
  <c r="M216" i="6"/>
  <c r="M219" i="6"/>
  <c r="M220" i="6"/>
  <c r="M222" i="6"/>
  <c r="M223" i="6"/>
  <c r="M224" i="6"/>
  <c r="M227" i="6"/>
  <c r="M228" i="6"/>
  <c r="M230" i="6"/>
  <c r="M231" i="6"/>
  <c r="M232" i="6"/>
  <c r="M235" i="6"/>
  <c r="M236" i="6"/>
  <c r="L42" i="7"/>
  <c r="L43" i="7"/>
  <c r="L44" i="7"/>
  <c r="L45" i="7"/>
  <c r="L46" i="7"/>
  <c r="L47" i="7"/>
  <c r="L48" i="7"/>
  <c r="L49" i="7"/>
  <c r="L50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O236" i="6"/>
  <c r="L236" i="6"/>
  <c r="J236" i="6"/>
  <c r="H236" i="6"/>
  <c r="D236" i="6"/>
  <c r="B236" i="6"/>
  <c r="O235" i="6"/>
  <c r="N235" i="6"/>
  <c r="L235" i="6"/>
  <c r="J235" i="6"/>
  <c r="H235" i="6"/>
  <c r="D235" i="6"/>
  <c r="B235" i="6"/>
  <c r="P235" i="6" s="1"/>
  <c r="O234" i="6"/>
  <c r="L234" i="6"/>
  <c r="J234" i="6"/>
  <c r="H234" i="6"/>
  <c r="D234" i="6"/>
  <c r="B234" i="6"/>
  <c r="P234" i="6" s="1"/>
  <c r="O233" i="6"/>
  <c r="L233" i="6"/>
  <c r="J233" i="6"/>
  <c r="H233" i="6"/>
  <c r="D233" i="6"/>
  <c r="B233" i="6"/>
  <c r="P233" i="6" s="1"/>
  <c r="O232" i="6"/>
  <c r="L232" i="6"/>
  <c r="J232" i="6"/>
  <c r="H232" i="6"/>
  <c r="D232" i="6"/>
  <c r="B232" i="6"/>
  <c r="P232" i="6" s="1"/>
  <c r="O231" i="6"/>
  <c r="L231" i="6"/>
  <c r="J231" i="6"/>
  <c r="H231" i="6"/>
  <c r="D231" i="6"/>
  <c r="B231" i="6"/>
  <c r="P231" i="6" s="1"/>
  <c r="O230" i="6"/>
  <c r="L230" i="6"/>
  <c r="J230" i="6"/>
  <c r="H230" i="6"/>
  <c r="D230" i="6"/>
  <c r="B230" i="6"/>
  <c r="P230" i="6" s="1"/>
  <c r="O229" i="6"/>
  <c r="L229" i="6"/>
  <c r="J229" i="6"/>
  <c r="H229" i="6"/>
  <c r="D229" i="6"/>
  <c r="B229" i="6"/>
  <c r="P229" i="6" s="1"/>
  <c r="O228" i="6"/>
  <c r="L228" i="6"/>
  <c r="J228" i="6"/>
  <c r="H228" i="6"/>
  <c r="D228" i="6"/>
  <c r="B228" i="6"/>
  <c r="P228" i="6" s="1"/>
  <c r="O227" i="6"/>
  <c r="L227" i="6"/>
  <c r="J227" i="6"/>
  <c r="H227" i="6"/>
  <c r="D227" i="6"/>
  <c r="B227" i="6"/>
  <c r="P227" i="6" s="1"/>
  <c r="O226" i="6"/>
  <c r="L226" i="6"/>
  <c r="J226" i="6"/>
  <c r="H226" i="6"/>
  <c r="D226" i="6"/>
  <c r="B226" i="6"/>
  <c r="P226" i="6" s="1"/>
  <c r="O225" i="6"/>
  <c r="L225" i="6"/>
  <c r="J225" i="6"/>
  <c r="H225" i="6"/>
  <c r="D225" i="6"/>
  <c r="B225" i="6"/>
  <c r="P225" i="6" s="1"/>
  <c r="O224" i="6"/>
  <c r="N224" i="6"/>
  <c r="L224" i="6"/>
  <c r="J224" i="6"/>
  <c r="H224" i="6"/>
  <c r="D224" i="6"/>
  <c r="B224" i="6"/>
  <c r="P224" i="6" s="1"/>
  <c r="O223" i="6"/>
  <c r="L223" i="6"/>
  <c r="J223" i="6"/>
  <c r="H223" i="6"/>
  <c r="D223" i="6"/>
  <c r="B223" i="6"/>
  <c r="P223" i="6" s="1"/>
  <c r="O222" i="6"/>
  <c r="L222" i="6"/>
  <c r="J222" i="6"/>
  <c r="H222" i="6"/>
  <c r="D222" i="6"/>
  <c r="B222" i="6"/>
  <c r="P222" i="6" s="1"/>
  <c r="O221" i="6"/>
  <c r="L221" i="6"/>
  <c r="J221" i="6"/>
  <c r="H221" i="6"/>
  <c r="D221" i="6"/>
  <c r="B221" i="6"/>
  <c r="P221" i="6" s="1"/>
  <c r="O220" i="6"/>
  <c r="L220" i="6"/>
  <c r="J220" i="6"/>
  <c r="H220" i="6"/>
  <c r="D220" i="6"/>
  <c r="B220" i="6"/>
  <c r="P220" i="6" s="1"/>
  <c r="O219" i="6"/>
  <c r="L219" i="6"/>
  <c r="J219" i="6"/>
  <c r="H219" i="6"/>
  <c r="D219" i="6"/>
  <c r="B219" i="6"/>
  <c r="P219" i="6" s="1"/>
  <c r="O218" i="6"/>
  <c r="N218" i="6"/>
  <c r="L218" i="6"/>
  <c r="J218" i="6"/>
  <c r="H218" i="6"/>
  <c r="D218" i="6"/>
  <c r="B218" i="6"/>
  <c r="P218" i="6" s="1"/>
  <c r="O217" i="6"/>
  <c r="L217" i="6"/>
  <c r="J217" i="6"/>
  <c r="H217" i="6"/>
  <c r="D217" i="6"/>
  <c r="B217" i="6"/>
  <c r="P217" i="6" s="1"/>
  <c r="O216" i="6"/>
  <c r="L216" i="6"/>
  <c r="J216" i="6"/>
  <c r="H216" i="6"/>
  <c r="D216" i="6"/>
  <c r="B216" i="6"/>
  <c r="P216" i="6" s="1"/>
  <c r="O215" i="6"/>
  <c r="L215" i="6"/>
  <c r="J215" i="6"/>
  <c r="H215" i="6"/>
  <c r="D215" i="6"/>
  <c r="B215" i="6"/>
  <c r="P215" i="6" s="1"/>
  <c r="O214" i="6"/>
  <c r="L214" i="6"/>
  <c r="J214" i="6"/>
  <c r="H214" i="6"/>
  <c r="D214" i="6"/>
  <c r="B214" i="6"/>
  <c r="P214" i="6" s="1"/>
  <c r="O213" i="6"/>
  <c r="L213" i="6"/>
  <c r="J213" i="6"/>
  <c r="H213" i="6"/>
  <c r="D213" i="6"/>
  <c r="B213" i="6"/>
  <c r="P213" i="6" s="1"/>
  <c r="O212" i="6"/>
  <c r="N212" i="6"/>
  <c r="L212" i="6"/>
  <c r="J212" i="6"/>
  <c r="H212" i="6"/>
  <c r="D212" i="6"/>
  <c r="B212" i="6"/>
  <c r="P212" i="6" s="1"/>
  <c r="O211" i="6"/>
  <c r="L211" i="6"/>
  <c r="J211" i="6"/>
  <c r="H211" i="6"/>
  <c r="D211" i="6"/>
  <c r="B211" i="6"/>
  <c r="P211" i="6" s="1"/>
  <c r="O210" i="6"/>
  <c r="N210" i="6"/>
  <c r="L210" i="6"/>
  <c r="J210" i="6"/>
  <c r="H210" i="6"/>
  <c r="D210" i="6"/>
  <c r="B210" i="6"/>
  <c r="P210" i="6" s="1"/>
  <c r="O209" i="6"/>
  <c r="L209" i="6"/>
  <c r="J209" i="6"/>
  <c r="H209" i="6"/>
  <c r="D209" i="6"/>
  <c r="B209" i="6"/>
  <c r="P209" i="6" s="1"/>
  <c r="O208" i="6"/>
  <c r="L208" i="6"/>
  <c r="J208" i="6"/>
  <c r="H208" i="6"/>
  <c r="D208" i="6"/>
  <c r="B208" i="6"/>
  <c r="P208" i="6" s="1"/>
  <c r="O207" i="6"/>
  <c r="L207" i="6"/>
  <c r="J207" i="6"/>
  <c r="H207" i="6"/>
  <c r="D207" i="6"/>
  <c r="B207" i="6"/>
  <c r="P207" i="6" s="1"/>
  <c r="O206" i="6"/>
  <c r="L206" i="6"/>
  <c r="J206" i="6"/>
  <c r="H206" i="6"/>
  <c r="D206" i="6"/>
  <c r="B206" i="6"/>
  <c r="P206" i="6" s="1"/>
  <c r="O205" i="6"/>
  <c r="N205" i="6"/>
  <c r="L205" i="6"/>
  <c r="J205" i="6"/>
  <c r="H205" i="6"/>
  <c r="D205" i="6"/>
  <c r="B205" i="6"/>
  <c r="P205" i="6" s="1"/>
  <c r="O204" i="6"/>
  <c r="L204" i="6"/>
  <c r="J204" i="6"/>
  <c r="H204" i="6"/>
  <c r="D204" i="6"/>
  <c r="B204" i="6"/>
  <c r="P204" i="6" s="1"/>
  <c r="O203" i="6"/>
  <c r="L203" i="6"/>
  <c r="J203" i="6"/>
  <c r="H203" i="6"/>
  <c r="D203" i="6"/>
  <c r="B203" i="6"/>
  <c r="P203" i="6" s="1"/>
  <c r="O202" i="6"/>
  <c r="L202" i="6"/>
  <c r="J202" i="6"/>
  <c r="H202" i="6"/>
  <c r="D202" i="6"/>
  <c r="B202" i="6"/>
  <c r="P202" i="6" s="1"/>
  <c r="O201" i="6"/>
  <c r="L201" i="6"/>
  <c r="J201" i="6"/>
  <c r="H201" i="6"/>
  <c r="D201" i="6"/>
  <c r="B201" i="6"/>
  <c r="P201" i="6" s="1"/>
  <c r="O200" i="6"/>
  <c r="L200" i="6"/>
  <c r="J200" i="6"/>
  <c r="H200" i="6"/>
  <c r="D200" i="6"/>
  <c r="B200" i="6"/>
  <c r="O199" i="6"/>
  <c r="L199" i="6"/>
  <c r="J199" i="6"/>
  <c r="H199" i="6"/>
  <c r="D199" i="6"/>
  <c r="B199" i="6"/>
  <c r="P199" i="6" s="1"/>
  <c r="O198" i="6"/>
  <c r="L198" i="6"/>
  <c r="J198" i="6"/>
  <c r="H198" i="6"/>
  <c r="D198" i="6"/>
  <c r="B198" i="6"/>
  <c r="P198" i="6" s="1"/>
  <c r="O197" i="6"/>
  <c r="L197" i="6"/>
  <c r="J197" i="6"/>
  <c r="H197" i="6"/>
  <c r="D197" i="6"/>
  <c r="B197" i="6"/>
  <c r="P197" i="6" s="1"/>
  <c r="O196" i="6"/>
  <c r="L196" i="6"/>
  <c r="J196" i="6"/>
  <c r="H196" i="6"/>
  <c r="D196" i="6"/>
  <c r="B196" i="6"/>
  <c r="P196" i="6" s="1"/>
  <c r="O195" i="6"/>
  <c r="L195" i="6"/>
  <c r="J195" i="6"/>
  <c r="H195" i="6"/>
  <c r="D195" i="6"/>
  <c r="B195" i="6"/>
  <c r="P195" i="6" s="1"/>
  <c r="O194" i="6"/>
  <c r="L194" i="6"/>
  <c r="J194" i="6"/>
  <c r="H194" i="6"/>
  <c r="D194" i="6"/>
  <c r="B194" i="6"/>
  <c r="P194" i="6" s="1"/>
  <c r="O193" i="6"/>
  <c r="L193" i="6"/>
  <c r="J193" i="6"/>
  <c r="H193" i="6"/>
  <c r="D193" i="6"/>
  <c r="B193" i="6"/>
  <c r="P193" i="6" s="1"/>
  <c r="O192" i="6"/>
  <c r="L192" i="6"/>
  <c r="J192" i="6"/>
  <c r="H192" i="6"/>
  <c r="D192" i="6"/>
  <c r="B192" i="6"/>
  <c r="O191" i="6"/>
  <c r="N191" i="6"/>
  <c r="L191" i="6"/>
  <c r="J191" i="6"/>
  <c r="H191" i="6"/>
  <c r="D191" i="6"/>
  <c r="B191" i="6"/>
  <c r="P191" i="6" s="1"/>
  <c r="O190" i="6"/>
  <c r="L190" i="6"/>
  <c r="J190" i="6"/>
  <c r="H190" i="6"/>
  <c r="D190" i="6"/>
  <c r="B190" i="6"/>
  <c r="P190" i="6" s="1"/>
  <c r="O189" i="6"/>
  <c r="N189" i="6"/>
  <c r="L189" i="6"/>
  <c r="J189" i="6"/>
  <c r="H189" i="6"/>
  <c r="D189" i="6"/>
  <c r="B189" i="6"/>
  <c r="P189" i="6" s="1"/>
  <c r="O188" i="6"/>
  <c r="L188" i="6"/>
  <c r="J188" i="6"/>
  <c r="H188" i="6"/>
  <c r="D188" i="6"/>
  <c r="B188" i="6"/>
  <c r="P188" i="6" s="1"/>
  <c r="O187" i="6"/>
  <c r="L187" i="6"/>
  <c r="J187" i="6"/>
  <c r="H187" i="6"/>
  <c r="D187" i="6"/>
  <c r="B187" i="6"/>
  <c r="P187" i="6" s="1"/>
  <c r="O186" i="6"/>
  <c r="L186" i="6"/>
  <c r="J186" i="6"/>
  <c r="H186" i="6"/>
  <c r="D186" i="6"/>
  <c r="B186" i="6"/>
  <c r="O185" i="6"/>
  <c r="L185" i="6"/>
  <c r="J185" i="6"/>
  <c r="H185" i="6"/>
  <c r="D185" i="6"/>
  <c r="B185" i="6"/>
  <c r="P185" i="6" s="1"/>
  <c r="O184" i="6"/>
  <c r="L184" i="6"/>
  <c r="J184" i="6"/>
  <c r="H184" i="6"/>
  <c r="D184" i="6"/>
  <c r="B184" i="6"/>
  <c r="P184" i="6" s="1"/>
  <c r="O183" i="6"/>
  <c r="L183" i="6"/>
  <c r="J183" i="6"/>
  <c r="H183" i="6"/>
  <c r="D183" i="6"/>
  <c r="B183" i="6"/>
  <c r="P183" i="6" s="1"/>
  <c r="O182" i="6"/>
  <c r="L182" i="6"/>
  <c r="J182" i="6"/>
  <c r="H182" i="6"/>
  <c r="D182" i="6"/>
  <c r="B182" i="6"/>
  <c r="P182" i="6" s="1"/>
  <c r="O181" i="6"/>
  <c r="L181" i="6"/>
  <c r="J181" i="6"/>
  <c r="H181" i="6"/>
  <c r="D181" i="6"/>
  <c r="B181" i="6"/>
  <c r="P181" i="6" s="1"/>
  <c r="O180" i="6"/>
  <c r="L180" i="6"/>
  <c r="J180" i="6"/>
  <c r="H180" i="6"/>
  <c r="D180" i="6"/>
  <c r="B180" i="6"/>
  <c r="P180" i="6" s="1"/>
  <c r="O179" i="6"/>
  <c r="L179" i="6"/>
  <c r="J179" i="6"/>
  <c r="H179" i="6"/>
  <c r="D179" i="6"/>
  <c r="B179" i="6"/>
  <c r="P179" i="6" s="1"/>
  <c r="O178" i="6"/>
  <c r="L178" i="6"/>
  <c r="J178" i="6"/>
  <c r="H178" i="6"/>
  <c r="D178" i="6"/>
  <c r="B178" i="6"/>
  <c r="P178" i="6" s="1"/>
  <c r="O177" i="6"/>
  <c r="L177" i="6"/>
  <c r="J177" i="6"/>
  <c r="H177" i="6"/>
  <c r="D177" i="6"/>
  <c r="B177" i="6"/>
  <c r="P177" i="6" s="1"/>
  <c r="O176" i="6"/>
  <c r="L176" i="6"/>
  <c r="J176" i="6"/>
  <c r="H176" i="6"/>
  <c r="D176" i="6"/>
  <c r="B176" i="6"/>
  <c r="O175" i="6"/>
  <c r="L175" i="6"/>
  <c r="J175" i="6"/>
  <c r="H175" i="6"/>
  <c r="D175" i="6"/>
  <c r="B175" i="6"/>
  <c r="P175" i="6" s="1"/>
  <c r="O174" i="6"/>
  <c r="L174" i="6"/>
  <c r="J174" i="6"/>
  <c r="H174" i="6"/>
  <c r="D174" i="6"/>
  <c r="B174" i="6"/>
  <c r="P174" i="6" s="1"/>
  <c r="O173" i="6"/>
  <c r="N173" i="6"/>
  <c r="L173" i="6"/>
  <c r="J173" i="6"/>
  <c r="H173" i="6"/>
  <c r="D173" i="6"/>
  <c r="B173" i="6"/>
  <c r="P173" i="6" s="1"/>
  <c r="O172" i="6"/>
  <c r="L172" i="6"/>
  <c r="J172" i="6"/>
  <c r="H172" i="6"/>
  <c r="D172" i="6"/>
  <c r="B172" i="6"/>
  <c r="P172" i="6" s="1"/>
  <c r="O171" i="6"/>
  <c r="L171" i="6"/>
  <c r="J171" i="6"/>
  <c r="H171" i="6"/>
  <c r="D171" i="6"/>
  <c r="B171" i="6"/>
  <c r="P171" i="6" s="1"/>
  <c r="O170" i="6"/>
  <c r="L170" i="6"/>
  <c r="J170" i="6"/>
  <c r="H170" i="6"/>
  <c r="D170" i="6"/>
  <c r="B170" i="6"/>
  <c r="O169" i="6"/>
  <c r="L169" i="6"/>
  <c r="J169" i="6"/>
  <c r="H169" i="6"/>
  <c r="D169" i="6"/>
  <c r="B169" i="6"/>
  <c r="P169" i="6" s="1"/>
  <c r="O168" i="6"/>
  <c r="N168" i="6"/>
  <c r="L168" i="6"/>
  <c r="J168" i="6"/>
  <c r="H168" i="6"/>
  <c r="D168" i="6"/>
  <c r="B168" i="6"/>
  <c r="P168" i="6" s="1"/>
  <c r="O167" i="6"/>
  <c r="L167" i="6"/>
  <c r="J167" i="6"/>
  <c r="H167" i="6"/>
  <c r="D167" i="6"/>
  <c r="B167" i="6"/>
  <c r="P167" i="6" s="1"/>
  <c r="O166" i="6"/>
  <c r="L166" i="6"/>
  <c r="J166" i="6"/>
  <c r="H166" i="6"/>
  <c r="D166" i="6"/>
  <c r="B166" i="6"/>
  <c r="P166" i="6" s="1"/>
  <c r="O165" i="6"/>
  <c r="L165" i="6"/>
  <c r="J165" i="6"/>
  <c r="H165" i="6"/>
  <c r="D165" i="6"/>
  <c r="B165" i="6"/>
  <c r="P165" i="6" s="1"/>
  <c r="O164" i="6"/>
  <c r="N164" i="6"/>
  <c r="L164" i="6"/>
  <c r="J164" i="6"/>
  <c r="H164" i="6"/>
  <c r="D164" i="6"/>
  <c r="B164" i="6"/>
  <c r="P164" i="6" s="1"/>
  <c r="O163" i="6"/>
  <c r="L163" i="6"/>
  <c r="J163" i="6"/>
  <c r="H163" i="6"/>
  <c r="D163" i="6"/>
  <c r="B163" i="6"/>
  <c r="P163" i="6" s="1"/>
  <c r="O162" i="6"/>
  <c r="L162" i="6"/>
  <c r="J162" i="6"/>
  <c r="H162" i="6"/>
  <c r="D162" i="6"/>
  <c r="B162" i="6"/>
  <c r="P162" i="6" s="1"/>
  <c r="O161" i="6"/>
  <c r="L161" i="6"/>
  <c r="J161" i="6"/>
  <c r="H161" i="6"/>
  <c r="D161" i="6"/>
  <c r="B161" i="6"/>
  <c r="P161" i="6" s="1"/>
  <c r="O160" i="6"/>
  <c r="N160" i="6"/>
  <c r="L160" i="6"/>
  <c r="J160" i="6"/>
  <c r="H160" i="6"/>
  <c r="D160" i="6"/>
  <c r="B160" i="6"/>
  <c r="P160" i="6" s="1"/>
  <c r="O159" i="6"/>
  <c r="L159" i="6"/>
  <c r="J159" i="6"/>
  <c r="H159" i="6"/>
  <c r="D159" i="6"/>
  <c r="B159" i="6"/>
  <c r="P159" i="6" s="1"/>
  <c r="O158" i="6"/>
  <c r="L158" i="6"/>
  <c r="J158" i="6"/>
  <c r="H158" i="6"/>
  <c r="D158" i="6"/>
  <c r="B158" i="6"/>
  <c r="P158" i="6" s="1"/>
  <c r="O157" i="6"/>
  <c r="L157" i="6"/>
  <c r="J157" i="6"/>
  <c r="H157" i="6"/>
  <c r="D157" i="6"/>
  <c r="B157" i="6"/>
  <c r="P157" i="6" s="1"/>
  <c r="O156" i="6"/>
  <c r="L156" i="6"/>
  <c r="J156" i="6"/>
  <c r="H156" i="6"/>
  <c r="D156" i="6"/>
  <c r="B156" i="6"/>
  <c r="P156" i="6" s="1"/>
  <c r="O155" i="6"/>
  <c r="L155" i="6"/>
  <c r="J155" i="6"/>
  <c r="H155" i="6"/>
  <c r="D155" i="6"/>
  <c r="B155" i="6"/>
  <c r="P155" i="6" s="1"/>
  <c r="O154" i="6"/>
  <c r="L154" i="6"/>
  <c r="J154" i="6"/>
  <c r="H154" i="6"/>
  <c r="D154" i="6"/>
  <c r="B154" i="6"/>
  <c r="O153" i="6"/>
  <c r="L153" i="6"/>
  <c r="J153" i="6"/>
  <c r="H153" i="6"/>
  <c r="D153" i="6"/>
  <c r="B153" i="6"/>
  <c r="P153" i="6" s="1"/>
  <c r="O152" i="6"/>
  <c r="L152" i="6"/>
  <c r="J152" i="6"/>
  <c r="H152" i="6"/>
  <c r="D152" i="6"/>
  <c r="B152" i="6"/>
  <c r="P152" i="6" s="1"/>
  <c r="O151" i="6"/>
  <c r="L151" i="6"/>
  <c r="J151" i="6"/>
  <c r="H151" i="6"/>
  <c r="D151" i="6"/>
  <c r="B151" i="6"/>
  <c r="P151" i="6" s="1"/>
  <c r="O150" i="6"/>
  <c r="L150" i="6"/>
  <c r="J150" i="6"/>
  <c r="H150" i="6"/>
  <c r="D150" i="6"/>
  <c r="B150" i="6"/>
  <c r="P150" i="6" s="1"/>
  <c r="O149" i="6"/>
  <c r="L149" i="6"/>
  <c r="J149" i="6"/>
  <c r="H149" i="6"/>
  <c r="D149" i="6"/>
  <c r="B149" i="6"/>
  <c r="P149" i="6" s="1"/>
  <c r="O148" i="6"/>
  <c r="L148" i="6"/>
  <c r="J148" i="6"/>
  <c r="H148" i="6"/>
  <c r="D148" i="6"/>
  <c r="B148" i="6"/>
  <c r="P148" i="6" s="1"/>
  <c r="O147" i="6"/>
  <c r="L147" i="6"/>
  <c r="J147" i="6"/>
  <c r="H147" i="6"/>
  <c r="D147" i="6"/>
  <c r="B147" i="6"/>
  <c r="P147" i="6" s="1"/>
  <c r="O146" i="6"/>
  <c r="L146" i="6"/>
  <c r="J146" i="6"/>
  <c r="H146" i="6"/>
  <c r="D146" i="6"/>
  <c r="B146" i="6"/>
  <c r="P146" i="6" s="1"/>
  <c r="O145" i="6"/>
  <c r="L145" i="6"/>
  <c r="J145" i="6"/>
  <c r="H145" i="6"/>
  <c r="D145" i="6"/>
  <c r="B145" i="6"/>
  <c r="P145" i="6" s="1"/>
  <c r="O144" i="6"/>
  <c r="N144" i="6"/>
  <c r="L144" i="6"/>
  <c r="J144" i="6"/>
  <c r="H144" i="6"/>
  <c r="D144" i="6"/>
  <c r="B144" i="6"/>
  <c r="P144" i="6" s="1"/>
  <c r="O143" i="6"/>
  <c r="L143" i="6"/>
  <c r="J143" i="6"/>
  <c r="H143" i="6"/>
  <c r="D143" i="6"/>
  <c r="B143" i="6"/>
  <c r="P143" i="6" s="1"/>
  <c r="O142" i="6"/>
  <c r="L142" i="6"/>
  <c r="J142" i="6"/>
  <c r="H142" i="6"/>
  <c r="D142" i="6"/>
  <c r="B142" i="6"/>
  <c r="P142" i="6" s="1"/>
  <c r="O141" i="6"/>
  <c r="L141" i="6"/>
  <c r="J141" i="6"/>
  <c r="H141" i="6"/>
  <c r="D141" i="6"/>
  <c r="B141" i="6"/>
  <c r="P141" i="6" s="1"/>
  <c r="O140" i="6"/>
  <c r="L140" i="6"/>
  <c r="J140" i="6"/>
  <c r="H140" i="6"/>
  <c r="D140" i="6"/>
  <c r="B140" i="6"/>
  <c r="P140" i="6" s="1"/>
  <c r="O139" i="6"/>
  <c r="L139" i="6"/>
  <c r="J139" i="6"/>
  <c r="H139" i="6"/>
  <c r="D139" i="6"/>
  <c r="B139" i="6"/>
  <c r="P139" i="6" s="1"/>
  <c r="O138" i="6"/>
  <c r="L138" i="6"/>
  <c r="J138" i="6"/>
  <c r="H138" i="6"/>
  <c r="D138" i="6"/>
  <c r="B138" i="6"/>
  <c r="O137" i="6"/>
  <c r="L137" i="6"/>
  <c r="J137" i="6"/>
  <c r="H137" i="6"/>
  <c r="D137" i="6"/>
  <c r="B137" i="6"/>
  <c r="P137" i="6" s="1"/>
  <c r="O136" i="6"/>
  <c r="L136" i="6"/>
  <c r="J136" i="6"/>
  <c r="H136" i="6"/>
  <c r="D136" i="6"/>
  <c r="B136" i="6"/>
  <c r="P136" i="6" s="1"/>
  <c r="O135" i="6"/>
  <c r="L135" i="6"/>
  <c r="J135" i="6"/>
  <c r="H135" i="6"/>
  <c r="D135" i="6"/>
  <c r="B135" i="6"/>
  <c r="P135" i="6" s="1"/>
  <c r="O134" i="6"/>
  <c r="L134" i="6"/>
  <c r="J134" i="6"/>
  <c r="H134" i="6"/>
  <c r="D134" i="6"/>
  <c r="B134" i="6"/>
  <c r="P134" i="6" s="1"/>
  <c r="O133" i="6"/>
  <c r="L133" i="6"/>
  <c r="J133" i="6"/>
  <c r="H133" i="6"/>
  <c r="D133" i="6"/>
  <c r="B133" i="6"/>
  <c r="P133" i="6" s="1"/>
  <c r="O132" i="6"/>
  <c r="L132" i="6"/>
  <c r="J132" i="6"/>
  <c r="H132" i="6"/>
  <c r="D132" i="6"/>
  <c r="B132" i="6"/>
  <c r="P132" i="6" s="1"/>
  <c r="O131" i="6"/>
  <c r="L131" i="6"/>
  <c r="J131" i="6"/>
  <c r="H131" i="6"/>
  <c r="D131" i="6"/>
  <c r="B131" i="6"/>
  <c r="P131" i="6" s="1"/>
  <c r="O130" i="6"/>
  <c r="L130" i="6"/>
  <c r="J130" i="6"/>
  <c r="H130" i="6"/>
  <c r="D130" i="6"/>
  <c r="B130" i="6"/>
  <c r="P130" i="6" s="1"/>
  <c r="O129" i="6"/>
  <c r="L129" i="6"/>
  <c r="J129" i="6"/>
  <c r="H129" i="6"/>
  <c r="D129" i="6"/>
  <c r="B129" i="6"/>
  <c r="P129" i="6" s="1"/>
  <c r="O128" i="6"/>
  <c r="L128" i="6"/>
  <c r="J128" i="6"/>
  <c r="H128" i="6"/>
  <c r="D128" i="6"/>
  <c r="B128" i="6"/>
  <c r="O127" i="6"/>
  <c r="L127" i="6"/>
  <c r="J127" i="6"/>
  <c r="H127" i="6"/>
  <c r="D127" i="6"/>
  <c r="B127" i="6"/>
  <c r="P127" i="6" s="1"/>
  <c r="O126" i="6"/>
  <c r="L126" i="6"/>
  <c r="J126" i="6"/>
  <c r="H126" i="6"/>
  <c r="D126" i="6"/>
  <c r="B126" i="6"/>
  <c r="P126" i="6" s="1"/>
  <c r="O125" i="6"/>
  <c r="L125" i="6"/>
  <c r="J125" i="6"/>
  <c r="H125" i="6"/>
  <c r="D125" i="6"/>
  <c r="B125" i="6"/>
  <c r="P125" i="6" s="1"/>
  <c r="O124" i="6"/>
  <c r="L124" i="6"/>
  <c r="J124" i="6"/>
  <c r="H124" i="6"/>
  <c r="D124" i="6"/>
  <c r="B124" i="6"/>
  <c r="P124" i="6" s="1"/>
  <c r="O123" i="6"/>
  <c r="L123" i="6"/>
  <c r="J123" i="6"/>
  <c r="H123" i="6"/>
  <c r="D123" i="6"/>
  <c r="B123" i="6"/>
  <c r="P123" i="6" s="1"/>
  <c r="O122" i="6"/>
  <c r="L122" i="6"/>
  <c r="J122" i="6"/>
  <c r="H122" i="6"/>
  <c r="D122" i="6"/>
  <c r="B122" i="6"/>
  <c r="O121" i="6"/>
  <c r="L121" i="6"/>
  <c r="J121" i="6"/>
  <c r="H121" i="6"/>
  <c r="D121" i="6"/>
  <c r="B121" i="6"/>
  <c r="P121" i="6" s="1"/>
  <c r="O120" i="6"/>
  <c r="N120" i="6"/>
  <c r="L120" i="6"/>
  <c r="J120" i="6"/>
  <c r="H120" i="6"/>
  <c r="D120" i="6"/>
  <c r="B120" i="6"/>
  <c r="P120" i="6" s="1"/>
  <c r="O119" i="6"/>
  <c r="L119" i="6"/>
  <c r="J119" i="6"/>
  <c r="H119" i="6"/>
  <c r="D119" i="6"/>
  <c r="B119" i="6"/>
  <c r="P119" i="6" s="1"/>
  <c r="O118" i="6"/>
  <c r="L118" i="6"/>
  <c r="J118" i="6"/>
  <c r="H118" i="6"/>
  <c r="D118" i="6"/>
  <c r="B118" i="6"/>
  <c r="P118" i="6" s="1"/>
  <c r="O117" i="6"/>
  <c r="L117" i="6"/>
  <c r="J117" i="6"/>
  <c r="H117" i="6"/>
  <c r="D117" i="6"/>
  <c r="B117" i="6"/>
  <c r="P117" i="6" s="1"/>
  <c r="O116" i="6"/>
  <c r="L116" i="6"/>
  <c r="J116" i="6"/>
  <c r="H116" i="6"/>
  <c r="D116" i="6"/>
  <c r="B116" i="6"/>
  <c r="P116" i="6" s="1"/>
  <c r="O115" i="6"/>
  <c r="L115" i="6"/>
  <c r="J115" i="6"/>
  <c r="H115" i="6"/>
  <c r="D115" i="6"/>
  <c r="B115" i="6"/>
  <c r="P115" i="6" s="1"/>
  <c r="O114" i="6"/>
  <c r="L114" i="6"/>
  <c r="J114" i="6"/>
  <c r="H114" i="6"/>
  <c r="D114" i="6"/>
  <c r="B114" i="6"/>
  <c r="P114" i="6" s="1"/>
  <c r="O113" i="6"/>
  <c r="L113" i="6"/>
  <c r="J113" i="6"/>
  <c r="H113" i="6"/>
  <c r="D113" i="6"/>
  <c r="B113" i="6"/>
  <c r="P113" i="6" s="1"/>
  <c r="O112" i="6"/>
  <c r="L112" i="6"/>
  <c r="J112" i="6"/>
  <c r="H112" i="6"/>
  <c r="D112" i="6"/>
  <c r="B112" i="6"/>
  <c r="O111" i="6"/>
  <c r="L111" i="6"/>
  <c r="J111" i="6"/>
  <c r="H111" i="6"/>
  <c r="D111" i="6"/>
  <c r="B111" i="6"/>
  <c r="P111" i="6" s="1"/>
  <c r="O110" i="6"/>
  <c r="L110" i="6"/>
  <c r="J110" i="6"/>
  <c r="H110" i="6"/>
  <c r="D110" i="6"/>
  <c r="B110" i="6"/>
  <c r="P110" i="6" s="1"/>
  <c r="O109" i="6"/>
  <c r="L109" i="6"/>
  <c r="J109" i="6"/>
  <c r="H109" i="6"/>
  <c r="D109" i="6"/>
  <c r="B109" i="6"/>
  <c r="O108" i="6"/>
  <c r="L108" i="6"/>
  <c r="J108" i="6"/>
  <c r="H108" i="6"/>
  <c r="D108" i="6"/>
  <c r="B108" i="6"/>
  <c r="P108" i="6" s="1"/>
  <c r="O107" i="6"/>
  <c r="L107" i="6"/>
  <c r="J107" i="6"/>
  <c r="H107" i="6"/>
  <c r="D107" i="6"/>
  <c r="B107" i="6"/>
  <c r="P107" i="6" s="1"/>
  <c r="O106" i="6"/>
  <c r="L106" i="6"/>
  <c r="J106" i="6"/>
  <c r="H106" i="6"/>
  <c r="D106" i="6"/>
  <c r="B106" i="6"/>
  <c r="O105" i="6"/>
  <c r="L105" i="6"/>
  <c r="J105" i="6"/>
  <c r="H105" i="6"/>
  <c r="D105" i="6"/>
  <c r="B105" i="6"/>
  <c r="P105" i="6" s="1"/>
  <c r="O104" i="6"/>
  <c r="L104" i="6"/>
  <c r="J104" i="6"/>
  <c r="H104" i="6"/>
  <c r="D104" i="6"/>
  <c r="B104" i="6"/>
  <c r="P104" i="6" s="1"/>
  <c r="O103" i="6"/>
  <c r="N103" i="6"/>
  <c r="L103" i="6"/>
  <c r="J103" i="6"/>
  <c r="H103" i="6"/>
  <c r="D103" i="6"/>
  <c r="B103" i="6"/>
  <c r="P103" i="6" s="1"/>
  <c r="O102" i="6"/>
  <c r="L102" i="6"/>
  <c r="J102" i="6"/>
  <c r="H102" i="6"/>
  <c r="D102" i="6"/>
  <c r="B102" i="6"/>
  <c r="P102" i="6" s="1"/>
  <c r="O101" i="6"/>
  <c r="L101" i="6"/>
  <c r="J101" i="6"/>
  <c r="H101" i="6"/>
  <c r="D101" i="6"/>
  <c r="B101" i="6"/>
  <c r="O100" i="6"/>
  <c r="L100" i="6"/>
  <c r="J100" i="6"/>
  <c r="H100" i="6"/>
  <c r="D100" i="6"/>
  <c r="B100" i="6"/>
  <c r="P100" i="6" s="1"/>
  <c r="O99" i="6"/>
  <c r="L99" i="6"/>
  <c r="J99" i="6"/>
  <c r="H99" i="6"/>
  <c r="D99" i="6"/>
  <c r="B99" i="6"/>
  <c r="O98" i="6"/>
  <c r="L98" i="6"/>
  <c r="J98" i="6"/>
  <c r="H98" i="6"/>
  <c r="D98" i="6"/>
  <c r="B98" i="6"/>
  <c r="O97" i="6"/>
  <c r="L97" i="6"/>
  <c r="J97" i="6"/>
  <c r="H97" i="6"/>
  <c r="D97" i="6"/>
  <c r="B97" i="6"/>
  <c r="P97" i="6" s="1"/>
  <c r="O96" i="6"/>
  <c r="L96" i="6"/>
  <c r="J96" i="6"/>
  <c r="H96" i="6"/>
  <c r="D96" i="6"/>
  <c r="B96" i="6"/>
  <c r="O95" i="6"/>
  <c r="L95" i="6"/>
  <c r="J95" i="6"/>
  <c r="H95" i="6"/>
  <c r="D95" i="6"/>
  <c r="B95" i="6"/>
  <c r="P95" i="6" s="1"/>
  <c r="O94" i="6"/>
  <c r="L94" i="6"/>
  <c r="J94" i="6"/>
  <c r="H94" i="6"/>
  <c r="D94" i="6"/>
  <c r="B94" i="6"/>
  <c r="P94" i="6" s="1"/>
  <c r="O93" i="6"/>
  <c r="L93" i="6"/>
  <c r="J93" i="6"/>
  <c r="H93" i="6"/>
  <c r="D93" i="6"/>
  <c r="B93" i="6"/>
  <c r="P93" i="6" s="1"/>
  <c r="O92" i="6"/>
  <c r="L92" i="6"/>
  <c r="J92" i="6"/>
  <c r="H92" i="6"/>
  <c r="D92" i="6"/>
  <c r="B92" i="6"/>
  <c r="O91" i="6"/>
  <c r="L91" i="6"/>
  <c r="J91" i="6"/>
  <c r="H91" i="6"/>
  <c r="D91" i="6"/>
  <c r="B91" i="6"/>
  <c r="P91" i="6" s="1"/>
  <c r="O90" i="6"/>
  <c r="L90" i="6"/>
  <c r="J90" i="6"/>
  <c r="H90" i="6"/>
  <c r="D90" i="6"/>
  <c r="B90" i="6"/>
  <c r="P90" i="6" s="1"/>
  <c r="O89" i="6"/>
  <c r="L89" i="6"/>
  <c r="J89" i="6"/>
  <c r="H89" i="6"/>
  <c r="D89" i="6"/>
  <c r="B89" i="6"/>
  <c r="O88" i="6"/>
  <c r="L88" i="6"/>
  <c r="J88" i="6"/>
  <c r="H88" i="6"/>
  <c r="D88" i="6"/>
  <c r="B88" i="6"/>
  <c r="P88" i="6" s="1"/>
  <c r="O87" i="6"/>
  <c r="L87" i="6"/>
  <c r="J87" i="6"/>
  <c r="H87" i="6"/>
  <c r="D87" i="6"/>
  <c r="B87" i="6"/>
  <c r="P87" i="6" s="1"/>
  <c r="O86" i="6"/>
  <c r="L86" i="6"/>
  <c r="J86" i="6"/>
  <c r="H86" i="6"/>
  <c r="D86" i="6"/>
  <c r="B86" i="6"/>
  <c r="P86" i="6" s="1"/>
  <c r="O85" i="6"/>
  <c r="L85" i="6"/>
  <c r="J85" i="6"/>
  <c r="H85" i="6"/>
  <c r="D85" i="6"/>
  <c r="B85" i="6"/>
  <c r="P85" i="6" s="1"/>
  <c r="O84" i="6"/>
  <c r="L84" i="6"/>
  <c r="J84" i="6"/>
  <c r="H84" i="6"/>
  <c r="D84" i="6"/>
  <c r="B84" i="6"/>
  <c r="P84" i="6" s="1"/>
  <c r="O83" i="6"/>
  <c r="L83" i="6"/>
  <c r="J83" i="6"/>
  <c r="H83" i="6"/>
  <c r="D83" i="6"/>
  <c r="B83" i="6"/>
  <c r="P83" i="6" s="1"/>
  <c r="O82" i="6"/>
  <c r="L82" i="6"/>
  <c r="J82" i="6"/>
  <c r="H82" i="6"/>
  <c r="D82" i="6"/>
  <c r="B82" i="6"/>
  <c r="P82" i="6" s="1"/>
  <c r="O81" i="6"/>
  <c r="L81" i="6"/>
  <c r="J81" i="6"/>
  <c r="H81" i="6"/>
  <c r="D81" i="6"/>
  <c r="B81" i="6"/>
  <c r="P81" i="6" s="1"/>
  <c r="O80" i="6"/>
  <c r="L80" i="6"/>
  <c r="J80" i="6"/>
  <c r="H80" i="6"/>
  <c r="D80" i="6"/>
  <c r="B80" i="6"/>
  <c r="P80" i="6" s="1"/>
  <c r="O79" i="6"/>
  <c r="L79" i="6"/>
  <c r="J79" i="6"/>
  <c r="H79" i="6"/>
  <c r="D79" i="6"/>
  <c r="B79" i="6"/>
  <c r="P79" i="6" s="1"/>
  <c r="O78" i="6"/>
  <c r="L78" i="6"/>
  <c r="J78" i="6"/>
  <c r="H78" i="6"/>
  <c r="D78" i="6"/>
  <c r="B78" i="6"/>
  <c r="O77" i="6"/>
  <c r="L77" i="6"/>
  <c r="J77" i="6"/>
  <c r="H77" i="6"/>
  <c r="D77" i="6"/>
  <c r="B77" i="6"/>
  <c r="P77" i="6" s="1"/>
  <c r="O76" i="6"/>
  <c r="L76" i="6"/>
  <c r="J76" i="6"/>
  <c r="H76" i="6"/>
  <c r="D76" i="6"/>
  <c r="B76" i="6"/>
  <c r="P76" i="6" s="1"/>
  <c r="O75" i="6"/>
  <c r="L75" i="6"/>
  <c r="J75" i="6"/>
  <c r="H75" i="6"/>
  <c r="D75" i="6"/>
  <c r="B75" i="6"/>
  <c r="P75" i="6" s="1"/>
  <c r="O74" i="6"/>
  <c r="L74" i="6"/>
  <c r="J74" i="6"/>
  <c r="H74" i="6"/>
  <c r="D74" i="6"/>
  <c r="B74" i="6"/>
  <c r="P74" i="6" s="1"/>
  <c r="O73" i="6"/>
  <c r="L73" i="6"/>
  <c r="J73" i="6"/>
  <c r="H73" i="6"/>
  <c r="D73" i="6"/>
  <c r="B73" i="6"/>
  <c r="P73" i="6" s="1"/>
  <c r="O72" i="6"/>
  <c r="L72" i="6"/>
  <c r="J72" i="6"/>
  <c r="H72" i="6"/>
  <c r="D72" i="6"/>
  <c r="B72" i="6"/>
  <c r="P72" i="6" s="1"/>
  <c r="O71" i="6"/>
  <c r="L71" i="6"/>
  <c r="J71" i="6"/>
  <c r="H71" i="6"/>
  <c r="D71" i="6"/>
  <c r="B71" i="6"/>
  <c r="P71" i="6" s="1"/>
  <c r="O70" i="6"/>
  <c r="L70" i="6"/>
  <c r="J70" i="6"/>
  <c r="H70" i="6"/>
  <c r="D70" i="6"/>
  <c r="B70" i="6"/>
  <c r="P70" i="6" s="1"/>
  <c r="O69" i="6"/>
  <c r="L69" i="6"/>
  <c r="J69" i="6"/>
  <c r="H69" i="6"/>
  <c r="D69" i="6"/>
  <c r="B69" i="6"/>
  <c r="O68" i="6"/>
  <c r="L68" i="6"/>
  <c r="J68" i="6"/>
  <c r="H68" i="6"/>
  <c r="D68" i="6"/>
  <c r="B68" i="6"/>
  <c r="P68" i="6" s="1"/>
  <c r="O67" i="6"/>
  <c r="L67" i="6"/>
  <c r="J67" i="6"/>
  <c r="H67" i="6"/>
  <c r="D67" i="6"/>
  <c r="B67" i="6"/>
  <c r="P67" i="6" s="1"/>
  <c r="O66" i="6"/>
  <c r="L66" i="6"/>
  <c r="J66" i="6"/>
  <c r="H66" i="6"/>
  <c r="D66" i="6"/>
  <c r="B66" i="6"/>
  <c r="O65" i="6"/>
  <c r="L65" i="6"/>
  <c r="J65" i="6"/>
  <c r="H65" i="6"/>
  <c r="D65" i="6"/>
  <c r="B65" i="6"/>
  <c r="P65" i="6" s="1"/>
  <c r="O64" i="6"/>
  <c r="L64" i="6"/>
  <c r="J64" i="6"/>
  <c r="H64" i="6"/>
  <c r="D64" i="6"/>
  <c r="B64" i="6"/>
  <c r="O63" i="6"/>
  <c r="L63" i="6"/>
  <c r="J63" i="6"/>
  <c r="H63" i="6"/>
  <c r="D63" i="6"/>
  <c r="B63" i="6"/>
  <c r="P63" i="6" s="1"/>
  <c r="O62" i="6"/>
  <c r="L62" i="6"/>
  <c r="J62" i="6"/>
  <c r="H62" i="6"/>
  <c r="D62" i="6"/>
  <c r="B62" i="6"/>
  <c r="P62" i="6" s="1"/>
  <c r="O61" i="6"/>
  <c r="L61" i="6"/>
  <c r="J61" i="6"/>
  <c r="H61" i="6"/>
  <c r="D61" i="6"/>
  <c r="B61" i="6"/>
  <c r="P61" i="6" s="1"/>
  <c r="O60" i="6"/>
  <c r="L60" i="6"/>
  <c r="J60" i="6"/>
  <c r="H60" i="6"/>
  <c r="D60" i="6"/>
  <c r="B60" i="6"/>
  <c r="O59" i="6"/>
  <c r="L59" i="6"/>
  <c r="J59" i="6"/>
  <c r="H59" i="6"/>
  <c r="D59" i="6"/>
  <c r="B59" i="6"/>
  <c r="P59" i="6" s="1"/>
  <c r="O58" i="6"/>
  <c r="L58" i="6"/>
  <c r="J58" i="6"/>
  <c r="H58" i="6"/>
  <c r="D58" i="6"/>
  <c r="B58" i="6"/>
  <c r="P58" i="6" s="1"/>
  <c r="O57" i="6"/>
  <c r="L57" i="6"/>
  <c r="J57" i="6"/>
  <c r="H57" i="6"/>
  <c r="D57" i="6"/>
  <c r="B57" i="6"/>
  <c r="O56" i="6"/>
  <c r="L56" i="6"/>
  <c r="J56" i="6"/>
  <c r="H56" i="6"/>
  <c r="D56" i="6"/>
  <c r="B56" i="6"/>
  <c r="P56" i="6" s="1"/>
  <c r="O55" i="6"/>
  <c r="L55" i="6"/>
  <c r="J55" i="6"/>
  <c r="H55" i="6"/>
  <c r="D55" i="6"/>
  <c r="B55" i="6"/>
  <c r="P55" i="6" s="1"/>
  <c r="O54" i="6"/>
  <c r="L54" i="6"/>
  <c r="J54" i="6"/>
  <c r="H54" i="6"/>
  <c r="D54" i="6"/>
  <c r="B54" i="6"/>
  <c r="P54" i="6" s="1"/>
  <c r="O53" i="6"/>
  <c r="L53" i="6"/>
  <c r="J53" i="6"/>
  <c r="H53" i="6"/>
  <c r="D53" i="6"/>
  <c r="B53" i="6"/>
  <c r="P53" i="6" s="1"/>
  <c r="O52" i="6"/>
  <c r="L52" i="6"/>
  <c r="J52" i="6"/>
  <c r="H52" i="6"/>
  <c r="D52" i="6"/>
  <c r="B52" i="6"/>
  <c r="P52" i="6" s="1"/>
  <c r="O51" i="6"/>
  <c r="L51" i="6"/>
  <c r="J51" i="6"/>
  <c r="H51" i="6"/>
  <c r="D51" i="6"/>
  <c r="B51" i="6"/>
  <c r="O50" i="6"/>
  <c r="L50" i="6"/>
  <c r="J50" i="6"/>
  <c r="H50" i="6"/>
  <c r="D50" i="6"/>
  <c r="B50" i="6"/>
  <c r="P50" i="6" s="1"/>
  <c r="O49" i="6"/>
  <c r="L49" i="6"/>
  <c r="J49" i="6"/>
  <c r="H49" i="6"/>
  <c r="D49" i="6"/>
  <c r="B49" i="6"/>
  <c r="P49" i="6" s="1"/>
  <c r="O48" i="6"/>
  <c r="L48" i="6"/>
  <c r="J48" i="6"/>
  <c r="H48" i="6"/>
  <c r="D48" i="6"/>
  <c r="B48" i="6"/>
  <c r="P48" i="6" s="1"/>
  <c r="O47" i="6"/>
  <c r="L47" i="6"/>
  <c r="J47" i="6"/>
  <c r="H47" i="6"/>
  <c r="D47" i="6"/>
  <c r="B47" i="6"/>
  <c r="P47" i="6" s="1"/>
  <c r="O46" i="6"/>
  <c r="L46" i="6"/>
  <c r="J46" i="6"/>
  <c r="H46" i="6"/>
  <c r="D46" i="6"/>
  <c r="B46" i="6"/>
  <c r="O45" i="6"/>
  <c r="L45" i="6"/>
  <c r="J45" i="6"/>
  <c r="H45" i="6"/>
  <c r="D45" i="6"/>
  <c r="B45" i="6"/>
  <c r="P45" i="6" s="1"/>
  <c r="O44" i="6"/>
  <c r="L44" i="6"/>
  <c r="J44" i="6"/>
  <c r="H44" i="6"/>
  <c r="D44" i="6"/>
  <c r="B44" i="6"/>
  <c r="P44" i="6" s="1"/>
  <c r="O43" i="6"/>
  <c r="L43" i="6"/>
  <c r="J43" i="6"/>
  <c r="H43" i="6"/>
  <c r="D43" i="6"/>
  <c r="B43" i="6"/>
  <c r="P43" i="6" s="1"/>
  <c r="O42" i="6"/>
  <c r="L42" i="6"/>
  <c r="J42" i="6"/>
  <c r="H42" i="6"/>
  <c r="D42" i="6"/>
  <c r="B42" i="6"/>
  <c r="P42" i="6" s="1"/>
  <c r="O41" i="6"/>
  <c r="L41" i="6"/>
  <c r="J41" i="6"/>
  <c r="H41" i="6"/>
  <c r="D41" i="6"/>
  <c r="B41" i="6"/>
  <c r="P41" i="6" s="1"/>
  <c r="O40" i="6"/>
  <c r="L40" i="6"/>
  <c r="J40" i="6"/>
  <c r="H40" i="6"/>
  <c r="D40" i="6"/>
  <c r="B40" i="6"/>
  <c r="P40" i="6" s="1"/>
  <c r="O39" i="6"/>
  <c r="L39" i="6"/>
  <c r="J39" i="6"/>
  <c r="H39" i="6"/>
  <c r="D39" i="6"/>
  <c r="B39" i="6"/>
  <c r="P39" i="6" s="1"/>
  <c r="O38" i="6"/>
  <c r="L38" i="6"/>
  <c r="J38" i="6"/>
  <c r="H38" i="6"/>
  <c r="D38" i="6"/>
  <c r="B38" i="6"/>
  <c r="P38" i="6" s="1"/>
  <c r="O37" i="6"/>
  <c r="L37" i="6"/>
  <c r="J37" i="6"/>
  <c r="H37" i="6"/>
  <c r="D37" i="6"/>
  <c r="B37" i="6"/>
  <c r="O36" i="6"/>
  <c r="L36" i="6"/>
  <c r="J36" i="6"/>
  <c r="H36" i="6"/>
  <c r="D36" i="6"/>
  <c r="B36" i="6"/>
  <c r="P36" i="6" s="1"/>
  <c r="O35" i="6"/>
  <c r="L35" i="6"/>
  <c r="J35" i="6"/>
  <c r="H35" i="6"/>
  <c r="D35" i="6"/>
  <c r="B35" i="6"/>
  <c r="P35" i="6" s="1"/>
  <c r="O34" i="6"/>
  <c r="L34" i="6"/>
  <c r="J34" i="6"/>
  <c r="H34" i="6"/>
  <c r="D34" i="6"/>
  <c r="B34" i="6"/>
  <c r="P34" i="6" s="1"/>
  <c r="O33" i="6"/>
  <c r="L33" i="6"/>
  <c r="J33" i="6"/>
  <c r="H33" i="6"/>
  <c r="D33" i="6"/>
  <c r="B33" i="6"/>
  <c r="P33" i="6" s="1"/>
  <c r="O32" i="6"/>
  <c r="L32" i="6"/>
  <c r="J32" i="6"/>
  <c r="H32" i="6"/>
  <c r="D32" i="6"/>
  <c r="B32" i="6"/>
  <c r="O31" i="6"/>
  <c r="L31" i="6"/>
  <c r="J31" i="6"/>
  <c r="H31" i="6"/>
  <c r="D31" i="6"/>
  <c r="B31" i="6"/>
  <c r="P31" i="6" s="1"/>
  <c r="O30" i="6"/>
  <c r="L30" i="6"/>
  <c r="J30" i="6"/>
  <c r="H30" i="6"/>
  <c r="D30" i="6"/>
  <c r="B30" i="6"/>
  <c r="P30" i="6" s="1"/>
  <c r="O29" i="6"/>
  <c r="L29" i="6"/>
  <c r="J29" i="6"/>
  <c r="H29" i="6"/>
  <c r="D29" i="6"/>
  <c r="B29" i="6"/>
  <c r="P29" i="6" s="1"/>
  <c r="O28" i="6"/>
  <c r="L28" i="6"/>
  <c r="J28" i="6"/>
  <c r="H28" i="6"/>
  <c r="D28" i="6"/>
  <c r="B28" i="6"/>
  <c r="O27" i="6"/>
  <c r="L27" i="6"/>
  <c r="J27" i="6"/>
  <c r="H27" i="6"/>
  <c r="D27" i="6"/>
  <c r="B27" i="6"/>
  <c r="P27" i="6" s="1"/>
  <c r="O26" i="6"/>
  <c r="L26" i="6"/>
  <c r="J26" i="6"/>
  <c r="H26" i="6"/>
  <c r="D26" i="6"/>
  <c r="B26" i="6"/>
  <c r="P26" i="6" s="1"/>
  <c r="O25" i="6"/>
  <c r="L25" i="6"/>
  <c r="J25" i="6"/>
  <c r="H25" i="6"/>
  <c r="D25" i="6"/>
  <c r="B25" i="6"/>
  <c r="P25" i="6" s="1"/>
  <c r="O24" i="6"/>
  <c r="L24" i="6"/>
  <c r="J24" i="6"/>
  <c r="H24" i="6"/>
  <c r="D24" i="6"/>
  <c r="B24" i="6"/>
  <c r="P24" i="6" s="1"/>
  <c r="O23" i="6"/>
  <c r="L23" i="6"/>
  <c r="J23" i="6"/>
  <c r="H23" i="6"/>
  <c r="D23" i="6"/>
  <c r="B23" i="6"/>
  <c r="P23" i="6" s="1"/>
  <c r="O22" i="6"/>
  <c r="L22" i="6"/>
  <c r="J22" i="6"/>
  <c r="H22" i="6"/>
  <c r="D22" i="6"/>
  <c r="B22" i="6"/>
  <c r="P22" i="6" s="1"/>
  <c r="O21" i="6"/>
  <c r="L21" i="6"/>
  <c r="J21" i="6"/>
  <c r="H21" i="6"/>
  <c r="D21" i="6"/>
  <c r="B21" i="6"/>
  <c r="P21" i="6" s="1"/>
  <c r="O20" i="6"/>
  <c r="L20" i="6"/>
  <c r="J20" i="6"/>
  <c r="H20" i="6"/>
  <c r="D20" i="6"/>
  <c r="B20" i="6"/>
  <c r="P20" i="6" s="1"/>
  <c r="O19" i="6"/>
  <c r="L19" i="6"/>
  <c r="J19" i="6"/>
  <c r="H19" i="6"/>
  <c r="D19" i="6"/>
  <c r="B19" i="6"/>
  <c r="P19" i="6" s="1"/>
  <c r="O18" i="6"/>
  <c r="L18" i="6"/>
  <c r="J18" i="6"/>
  <c r="H18" i="6"/>
  <c r="D18" i="6"/>
  <c r="B18" i="6"/>
  <c r="P18" i="6" s="1"/>
  <c r="O17" i="6"/>
  <c r="L17" i="6"/>
  <c r="J17" i="6"/>
  <c r="H17" i="6"/>
  <c r="D17" i="6"/>
  <c r="B17" i="6"/>
  <c r="P17" i="6" s="1"/>
  <c r="O16" i="6"/>
  <c r="L16" i="6"/>
  <c r="J16" i="6"/>
  <c r="H16" i="6"/>
  <c r="D16" i="6"/>
  <c r="B16" i="6"/>
  <c r="P16" i="6" s="1"/>
  <c r="O15" i="6"/>
  <c r="L15" i="6"/>
  <c r="J15" i="6"/>
  <c r="H15" i="6"/>
  <c r="D15" i="6"/>
  <c r="B15" i="6"/>
  <c r="P15" i="6" s="1"/>
  <c r="O14" i="6"/>
  <c r="L14" i="6"/>
  <c r="J14" i="6"/>
  <c r="H14" i="6"/>
  <c r="D14" i="6"/>
  <c r="B14" i="6"/>
  <c r="O13" i="6"/>
  <c r="L13" i="6"/>
  <c r="J13" i="6"/>
  <c r="H13" i="6"/>
  <c r="D13" i="6"/>
  <c r="B13" i="6"/>
  <c r="P13" i="6" s="1"/>
  <c r="O12" i="6"/>
  <c r="L12" i="6"/>
  <c r="J12" i="6"/>
  <c r="H12" i="6"/>
  <c r="D12" i="6"/>
  <c r="B12" i="6"/>
  <c r="P12" i="6" s="1"/>
  <c r="O11" i="6"/>
  <c r="L11" i="6"/>
  <c r="J11" i="6"/>
  <c r="H11" i="6"/>
  <c r="D11" i="6"/>
  <c r="B11" i="6"/>
  <c r="P11" i="6" s="1"/>
  <c r="O10" i="6"/>
  <c r="L10" i="6"/>
  <c r="J10" i="6"/>
  <c r="H10" i="6"/>
  <c r="D10" i="6"/>
  <c r="B10" i="6"/>
  <c r="P10" i="6" s="1"/>
  <c r="O9" i="6"/>
  <c r="L9" i="6"/>
  <c r="J9" i="6"/>
  <c r="H9" i="6"/>
  <c r="D9" i="6"/>
  <c r="B9" i="6"/>
  <c r="P9" i="6" s="1"/>
  <c r="O8" i="6"/>
  <c r="L8" i="6"/>
  <c r="J8" i="6"/>
  <c r="H8" i="6"/>
  <c r="D8" i="6"/>
  <c r="B8" i="6"/>
  <c r="P8" i="6" s="1"/>
  <c r="O7" i="6"/>
  <c r="L7" i="6"/>
  <c r="J7" i="6"/>
  <c r="H7" i="6"/>
  <c r="D7" i="6"/>
  <c r="B7" i="6"/>
  <c r="P7" i="6" s="1"/>
  <c r="O6" i="6"/>
  <c r="L6" i="6"/>
  <c r="J6" i="6"/>
  <c r="H6" i="6"/>
  <c r="D6" i="6"/>
  <c r="B6" i="6"/>
  <c r="O5" i="6"/>
  <c r="L5" i="6"/>
  <c r="J5" i="6"/>
  <c r="H5" i="6"/>
  <c r="D5" i="6"/>
  <c r="B5" i="6"/>
  <c r="O4" i="6"/>
  <c r="L4" i="6"/>
  <c r="J4" i="6"/>
  <c r="H4" i="6"/>
  <c r="D4" i="6"/>
  <c r="B4" i="6"/>
  <c r="P4" i="6" s="1"/>
  <c r="O3" i="6"/>
  <c r="L3" i="6"/>
  <c r="J3" i="6"/>
  <c r="H3" i="6"/>
  <c r="D3" i="6"/>
  <c r="B3" i="6"/>
  <c r="P3" i="6" s="1"/>
  <c r="O2" i="6"/>
  <c r="L2" i="6"/>
  <c r="J2" i="6"/>
  <c r="I2" i="6"/>
  <c r="H2" i="6"/>
  <c r="D2" i="6"/>
  <c r="B2" i="6"/>
  <c r="L32" i="7" l="1"/>
  <c r="N236" i="6"/>
  <c r="N17" i="6"/>
  <c r="N221" i="6"/>
  <c r="N222" i="6"/>
  <c r="N23" i="6"/>
  <c r="M2" i="6"/>
  <c r="N33" i="6"/>
  <c r="N128" i="6"/>
  <c r="N99" i="6"/>
  <c r="N109" i="6"/>
  <c r="N129" i="6"/>
  <c r="N91" i="6"/>
  <c r="N135" i="6"/>
  <c r="N9" i="6"/>
  <c r="L9" i="7" s="1"/>
  <c r="N51" i="6"/>
  <c r="N60" i="6"/>
  <c r="N63" i="6"/>
  <c r="N157" i="6"/>
  <c r="N83" i="6"/>
  <c r="N6" i="6"/>
  <c r="N115" i="6"/>
  <c r="N42" i="6"/>
  <c r="N58" i="6"/>
  <c r="N61" i="6"/>
  <c r="N101" i="6"/>
  <c r="N112" i="6"/>
  <c r="N122" i="6"/>
  <c r="N143" i="6"/>
  <c r="N145" i="6"/>
  <c r="N165" i="6"/>
  <c r="N175" i="6"/>
  <c r="N190" i="6"/>
  <c r="P236" i="6"/>
  <c r="N79" i="6"/>
  <c r="L3" i="7" s="1"/>
  <c r="N104" i="6"/>
  <c r="N155" i="6"/>
  <c r="N163" i="6"/>
  <c r="N225" i="6"/>
  <c r="N198" i="6"/>
  <c r="N220" i="6"/>
  <c r="N11" i="6"/>
  <c r="N77" i="6"/>
  <c r="N98" i="6"/>
  <c r="N187" i="6"/>
  <c r="N209" i="6"/>
  <c r="N26" i="6"/>
  <c r="N46" i="6"/>
  <c r="N119" i="6"/>
  <c r="N169" i="6"/>
  <c r="N233" i="6"/>
  <c r="N75" i="6"/>
  <c r="N118" i="6"/>
  <c r="N137" i="6"/>
  <c r="N182" i="6"/>
  <c r="N38" i="6"/>
  <c r="N73" i="6"/>
  <c r="N90" i="6"/>
  <c r="N149" i="6"/>
  <c r="N179" i="6"/>
  <c r="N229" i="6"/>
  <c r="P99" i="6"/>
  <c r="N14" i="6"/>
  <c r="N5" i="6"/>
  <c r="L30" i="7" s="1"/>
  <c r="P6" i="6"/>
  <c r="N27" i="6"/>
  <c r="N39" i="6"/>
  <c r="N64" i="6"/>
  <c r="N78" i="6"/>
  <c r="N110" i="6"/>
  <c r="N151" i="6"/>
  <c r="N153" i="6"/>
  <c r="N159" i="6"/>
  <c r="N161" i="6"/>
  <c r="N167" i="6"/>
  <c r="N177" i="6"/>
  <c r="N181" i="6"/>
  <c r="N213" i="6"/>
  <c r="N217" i="6"/>
  <c r="N232" i="6"/>
  <c r="P98" i="6"/>
  <c r="P109" i="6"/>
  <c r="N37" i="6"/>
  <c r="N47" i="6"/>
  <c r="N55" i="6"/>
  <c r="N59" i="6"/>
  <c r="N76" i="6"/>
  <c r="N89" i="6"/>
  <c r="P89" i="6"/>
  <c r="N96" i="6"/>
  <c r="N106" i="6"/>
  <c r="N113" i="6"/>
  <c r="L38" i="7" s="1"/>
  <c r="N117" i="6"/>
  <c r="N121" i="6"/>
  <c r="N127" i="6"/>
  <c r="N131" i="6"/>
  <c r="N148" i="6"/>
  <c r="N197" i="6"/>
  <c r="N201" i="6"/>
  <c r="N30" i="6"/>
  <c r="L28" i="7" s="1"/>
  <c r="N147" i="6"/>
  <c r="N7" i="6"/>
  <c r="N19" i="6"/>
  <c r="N21" i="6"/>
  <c r="N49" i="6"/>
  <c r="N71" i="6"/>
  <c r="G26" i="7" s="1"/>
  <c r="N81" i="6"/>
  <c r="N92" i="6"/>
  <c r="N95" i="6"/>
  <c r="N105" i="6"/>
  <c r="N111" i="6"/>
  <c r="N132" i="6"/>
  <c r="N139" i="6"/>
  <c r="N141" i="6"/>
  <c r="N150" i="6"/>
  <c r="N158" i="6"/>
  <c r="N166" i="6"/>
  <c r="N171" i="6"/>
  <c r="N202" i="6"/>
  <c r="N12" i="6"/>
  <c r="N24" i="6"/>
  <c r="N10" i="6"/>
  <c r="L16" i="7" s="1"/>
  <c r="N32" i="6"/>
  <c r="L21" i="7" s="1"/>
  <c r="N41" i="6"/>
  <c r="N43" i="6"/>
  <c r="N50" i="6"/>
  <c r="N67" i="6"/>
  <c r="N70" i="6"/>
  <c r="N93" i="6"/>
  <c r="N97" i="6"/>
  <c r="N107" i="6"/>
  <c r="N116" i="6"/>
  <c r="N134" i="6"/>
  <c r="N142" i="6"/>
  <c r="N174" i="6"/>
  <c r="N186" i="6"/>
  <c r="N200" i="6"/>
  <c r="N206" i="6"/>
  <c r="N208" i="6"/>
  <c r="N226" i="6"/>
  <c r="N230" i="6"/>
  <c r="N18" i="6"/>
  <c r="L4" i="7" s="1"/>
  <c r="N65" i="6"/>
  <c r="N66" i="6"/>
  <c r="P66" i="6"/>
  <c r="N72" i="6"/>
  <c r="L35" i="7" s="1"/>
  <c r="N123" i="6"/>
  <c r="L24" i="7" s="1"/>
  <c r="N125" i="6"/>
  <c r="N154" i="6"/>
  <c r="N192" i="6"/>
  <c r="P51" i="6"/>
  <c r="N82" i="6"/>
  <c r="N133" i="6"/>
  <c r="N180" i="6"/>
  <c r="N194" i="6"/>
  <c r="L13" i="7" s="1"/>
  <c r="N28" i="6"/>
  <c r="N15" i="6"/>
  <c r="N29" i="6"/>
  <c r="N31" i="6"/>
  <c r="N35" i="6"/>
  <c r="N44" i="6"/>
  <c r="N57" i="6"/>
  <c r="P57" i="6"/>
  <c r="N69" i="6"/>
  <c r="L20" i="7" s="1"/>
  <c r="N86" i="6"/>
  <c r="N87" i="6"/>
  <c r="N102" i="6"/>
  <c r="N126" i="6"/>
  <c r="N138" i="6"/>
  <c r="N170" i="6"/>
  <c r="N176" i="6"/>
  <c r="N183" i="6"/>
  <c r="N185" i="6"/>
  <c r="N193" i="6"/>
  <c r="N214" i="6"/>
  <c r="N56" i="6"/>
  <c r="P64" i="6"/>
  <c r="N74" i="6"/>
  <c r="N88" i="6"/>
  <c r="P96" i="6"/>
  <c r="P106" i="6"/>
  <c r="P122" i="6"/>
  <c r="P138" i="6"/>
  <c r="P154" i="6"/>
  <c r="P170" i="6"/>
  <c r="P186" i="6"/>
  <c r="P200" i="6"/>
  <c r="N207" i="6"/>
  <c r="P14" i="6"/>
  <c r="P37" i="6"/>
  <c r="P46" i="6"/>
  <c r="N52" i="6"/>
  <c r="P60" i="6"/>
  <c r="P69" i="6"/>
  <c r="P78" i="6"/>
  <c r="N84" i="6"/>
  <c r="L11" i="7" s="1"/>
  <c r="P92" i="6"/>
  <c r="P101" i="6"/>
  <c r="N108" i="6"/>
  <c r="P112" i="6"/>
  <c r="N124" i="6"/>
  <c r="P128" i="6"/>
  <c r="N140" i="6"/>
  <c r="N156" i="6"/>
  <c r="N172" i="6"/>
  <c r="P176" i="6"/>
  <c r="N188" i="6"/>
  <c r="P192" i="6"/>
  <c r="N204" i="6"/>
  <c r="N219" i="6"/>
  <c r="N231" i="6"/>
  <c r="P32" i="6"/>
  <c r="P5" i="6"/>
  <c r="N20" i="6"/>
  <c r="P28" i="6"/>
  <c r="N2" i="6"/>
  <c r="N16" i="6"/>
  <c r="N25" i="6"/>
  <c r="L37" i="7" s="1"/>
  <c r="N34" i="6"/>
  <c r="N48" i="6"/>
  <c r="N80" i="6"/>
  <c r="N114" i="6"/>
  <c r="N130" i="6"/>
  <c r="N146" i="6"/>
  <c r="N162" i="6"/>
  <c r="N178" i="6"/>
  <c r="N195" i="6"/>
  <c r="N199" i="6"/>
  <c r="N216" i="6"/>
  <c r="N53" i="6"/>
  <c r="N62" i="6"/>
  <c r="N85" i="6"/>
  <c r="N94" i="6"/>
  <c r="N136" i="6"/>
  <c r="N152" i="6"/>
  <c r="N184" i="6"/>
  <c r="N196" i="6"/>
  <c r="N211" i="6"/>
  <c r="N3" i="6"/>
  <c r="N223" i="6"/>
  <c r="P2" i="6"/>
  <c r="N4" i="6"/>
  <c r="N13" i="6"/>
  <c r="L40" i="7" s="1"/>
  <c r="N22" i="6"/>
  <c r="N36" i="6"/>
  <c r="N45" i="6"/>
  <c r="N54" i="6"/>
  <c r="N68" i="6"/>
  <c r="N100" i="6"/>
  <c r="N203" i="6"/>
  <c r="N228" i="6"/>
  <c r="L25" i="7" s="1"/>
  <c r="N215" i="6"/>
  <c r="N8" i="6"/>
  <c r="N40" i="6"/>
  <c r="N227" i="6"/>
  <c r="N234" i="6"/>
  <c r="L19" i="7" l="1"/>
  <c r="L5" i="7"/>
  <c r="L27" i="7"/>
  <c r="L23" i="7"/>
  <c r="L7" i="7"/>
  <c r="L15" i="7"/>
  <c r="L22" i="7"/>
  <c r="L12" i="7"/>
  <c r="L10" i="7"/>
  <c r="L36" i="7"/>
  <c r="L29" i="7"/>
  <c r="L33" i="7"/>
  <c r="L39" i="7"/>
  <c r="L14" i="7"/>
  <c r="L41" i="7"/>
  <c r="L34" i="7"/>
  <c r="L26" i="7"/>
  <c r="L18" i="7"/>
  <c r="L31" i="7"/>
  <c r="L8" i="7"/>
  <c r="L17" i="7"/>
  <c r="L6" i="7"/>
  <c r="F7" i="8"/>
  <c r="D7" i="8"/>
  <c r="F6" i="8"/>
  <c r="E22" i="7"/>
  <c r="F3" i="8"/>
  <c r="D4" i="8"/>
  <c r="E23" i="7"/>
  <c r="E26" i="7"/>
  <c r="G7" i="8"/>
  <c r="E3" i="8"/>
  <c r="B24" i="7"/>
  <c r="B4" i="7"/>
  <c r="E7" i="8"/>
  <c r="D24" i="7"/>
  <c r="B6" i="7"/>
  <c r="D26" i="7"/>
  <c r="B7" i="8"/>
  <c r="B6" i="8"/>
  <c r="E5" i="8"/>
  <c r="C25" i="7"/>
  <c r="F24" i="7"/>
  <c r="E25" i="7"/>
  <c r="E4" i="8"/>
  <c r="B4" i="8"/>
  <c r="C24" i="7"/>
  <c r="G6" i="8"/>
  <c r="B25" i="7"/>
  <c r="F25" i="7"/>
  <c r="G23" i="7"/>
  <c r="D23" i="7"/>
  <c r="D5" i="8"/>
  <c r="F23" i="7"/>
  <c r="G25" i="7"/>
  <c r="E5" i="7" a="1"/>
  <c r="E5" i="7" s="1"/>
  <c r="G5" i="8"/>
  <c r="D3" i="8"/>
  <c r="G24" i="7"/>
  <c r="B5" i="7"/>
  <c r="B12" i="7"/>
  <c r="C7" i="7"/>
  <c r="B16" i="7"/>
  <c r="C5" i="7"/>
  <c r="B22" i="7"/>
  <c r="B3" i="7"/>
  <c r="C4" i="8"/>
  <c r="D25" i="7"/>
  <c r="C7" i="8"/>
  <c r="F4" i="8"/>
  <c r="C6" i="7"/>
  <c r="B14" i="7"/>
  <c r="E4" i="7" a="1"/>
  <c r="E4" i="7" s="1"/>
  <c r="G3" i="8"/>
  <c r="B13" i="7"/>
  <c r="E7" i="7" a="1"/>
  <c r="E7" i="7" s="1"/>
  <c r="B3" i="8"/>
  <c r="E24" i="7"/>
  <c r="F22" i="7"/>
  <c r="C5" i="8"/>
  <c r="E3" i="7" a="1"/>
  <c r="E3" i="7" s="1"/>
  <c r="G4" i="8"/>
  <c r="E6" i="8"/>
  <c r="E6" i="7" a="1"/>
  <c r="E6" i="7" s="1"/>
  <c r="F5" i="8"/>
  <c r="B7" i="7"/>
  <c r="C6" i="8"/>
  <c r="L2" i="7"/>
  <c r="B23" i="7"/>
  <c r="C4" i="7"/>
  <c r="D6" i="8"/>
  <c r="C22" i="7"/>
  <c r="C3" i="7"/>
  <c r="B26" i="7"/>
  <c r="C23" i="7"/>
  <c r="D22" i="7"/>
  <c r="C3" i="8"/>
  <c r="G22" i="7"/>
  <c r="B15" i="7"/>
  <c r="C26" i="7"/>
  <c r="B5" i="8"/>
  <c r="F26" i="7"/>
  <c r="B17" i="7"/>
  <c r="C15" i="7" l="1"/>
  <c r="D15" i="7" s="1"/>
  <c r="C13" i="7"/>
  <c r="D13" i="7" s="1"/>
  <c r="D4" i="7"/>
  <c r="D6" i="7"/>
  <c r="C16" i="7"/>
  <c r="D16" i="7" s="1"/>
  <c r="D7" i="7"/>
  <c r="B34" i="7"/>
  <c r="B32" i="7"/>
  <c r="A34" i="7"/>
  <c r="A32" i="7"/>
  <c r="B35" i="7"/>
  <c r="B33" i="7"/>
  <c r="B31" i="7"/>
  <c r="A35" i="7"/>
  <c r="A33" i="7"/>
  <c r="A31" i="7"/>
  <c r="B4" i="10"/>
  <c r="C17" i="7"/>
  <c r="D17" i="7" s="1"/>
  <c r="C14" i="7"/>
  <c r="D14" i="7" s="1"/>
  <c r="D5" i="7"/>
  <c r="D3" i="7"/>
  <c r="D4" i="10"/>
  <c r="A4" i="10"/>
  <c r="C4" i="10" l="1"/>
</calcChain>
</file>

<file path=xl/sharedStrings.xml><?xml version="1.0" encoding="utf-8"?>
<sst xmlns="http://schemas.openxmlformats.org/spreadsheetml/2006/main" count="3405" uniqueCount="540">
  <si>
    <t>MIS Operations Dashboard</t>
  </si>
  <si>
    <t>Total Revenue</t>
  </si>
  <si>
    <t>Total Orders</t>
  </si>
  <si>
    <t>AOV</t>
  </si>
  <si>
    <t>Top Region</t>
  </si>
  <si>
    <t>North</t>
  </si>
  <si>
    <t>Month</t>
  </si>
  <si>
    <t>Revenue</t>
  </si>
  <si>
    <t>Nov-2025</t>
  </si>
  <si>
    <t>Dec-2025</t>
  </si>
  <si>
    <t>Jan-2026</t>
  </si>
  <si>
    <t>Feb-2026</t>
  </si>
  <si>
    <t>Mar-2026</t>
  </si>
  <si>
    <t>Apr-2026</t>
  </si>
  <si>
    <t>Sales Performance Analytics Dashboard</t>
  </si>
  <si>
    <t>Business Intelligence &amp; Reporting Project</t>
  </si>
  <si>
    <t>Project Overview</t>
  </si>
  <si>
    <t>Designed and developed an Excel-based analytics dashboard to monitor sales performance, analyze KPIs, and generate actionable business insights from operational datasets.</t>
  </si>
  <si>
    <t>Objectives</t>
  </si>
  <si>
    <t>• Analyze sales representative performance and target achievement
• Build interactive dashboards for business reporting
• Identify sales trends and operational insights
• Automate reporting workflows using dynamic Excel features</t>
  </si>
  <si>
    <t>Tools &amp; Technologies</t>
  </si>
  <si>
    <t>Microsoft Excel, Pivot Tables, Pivot Charts, Conditional Formatting, Data Cleaning, Dashboard Design, KPI Tracking</t>
  </si>
  <si>
    <t>Key Features</t>
  </si>
  <si>
    <t>• Interactive KPI dashboard
• Sales representative performance analysis
• Target vs Achievement tracking
• Automated reporting summaries
• Dynamic charts and slicers</t>
  </si>
  <si>
    <t>Business Insights</t>
  </si>
  <si>
    <t>• Identified high-performing sales regions and representatives
• Analyzed target achievement percentages across teams
• Improved reporting visibility and decision-making insights</t>
  </si>
  <si>
    <t>Order_ID</t>
  </si>
  <si>
    <t>Order_Date</t>
  </si>
  <si>
    <t>Customer_ID</t>
  </si>
  <si>
    <t>Region</t>
  </si>
  <si>
    <t>Product_SKU</t>
  </si>
  <si>
    <t>Product_Name</t>
  </si>
  <si>
    <t>Product_Category</t>
  </si>
  <si>
    <t>Quantity</t>
  </si>
  <si>
    <t>Unit_Price</t>
  </si>
  <si>
    <t>Discount</t>
  </si>
  <si>
    <t>Rep_ID</t>
  </si>
  <si>
    <t>ORD-5162</t>
  </si>
  <si>
    <t>CUST-1022</t>
  </si>
  <si>
    <t>north</t>
  </si>
  <si>
    <t>SKU-1006</t>
  </si>
  <si>
    <t>Pen Set</t>
  </si>
  <si>
    <t>Stationery</t>
  </si>
  <si>
    <t>R004</t>
  </si>
  <si>
    <t>ORD-5201</t>
  </si>
  <si>
    <t>04/24/2026</t>
  </si>
  <si>
    <t>CUST-1000</t>
  </si>
  <si>
    <t>central</t>
  </si>
  <si>
    <t>SKU-1003</t>
  </si>
  <si>
    <t>Office Chair</t>
  </si>
  <si>
    <t>Furniture</t>
  </si>
  <si>
    <t>R003</t>
  </si>
  <si>
    <t>ORD-5169</t>
  </si>
  <si>
    <t>CUST-1015</t>
  </si>
  <si>
    <t>N.</t>
  </si>
  <si>
    <t>SKU-1001</t>
  </si>
  <si>
    <t>Laptop</t>
  </si>
  <si>
    <t>Electronics</t>
  </si>
  <si>
    <t>ORD-5168</t>
  </si>
  <si>
    <t>04/04/2026</t>
  </si>
  <si>
    <t>CUST-1028</t>
  </si>
  <si>
    <t>EAST</t>
  </si>
  <si>
    <t>ORD-5098</t>
  </si>
  <si>
    <t>03/20/2026</t>
  </si>
  <si>
    <t>CUST-1004</t>
  </si>
  <si>
    <t>west</t>
  </si>
  <si>
    <t>ORD-5209</t>
  </si>
  <si>
    <t>20-04-2026</t>
  </si>
  <si>
    <t>CUST-1029</t>
  </si>
  <si>
    <t>East</t>
  </si>
  <si>
    <t>R006</t>
  </si>
  <si>
    <t>ORD-5145</t>
  </si>
  <si>
    <t>2026-04-15</t>
  </si>
  <si>
    <t>CUST-1032</t>
  </si>
  <si>
    <t>R002</t>
  </si>
  <si>
    <t>ORD-5130</t>
  </si>
  <si>
    <t>CUST-1007</t>
  </si>
  <si>
    <t>SKU-1008</t>
  </si>
  <si>
    <t>Keyboard</t>
  </si>
  <si>
    <t>R005</t>
  </si>
  <si>
    <t>ORD-5090</t>
  </si>
  <si>
    <t>2026-01-01</t>
  </si>
  <si>
    <t>CUST-1014</t>
  </si>
  <si>
    <t>West</t>
  </si>
  <si>
    <t>ORD-5051</t>
  </si>
  <si>
    <t>12/06/2025</t>
  </si>
  <si>
    <t xml:space="preserve"> East </t>
  </si>
  <si>
    <t>ORD-5024</t>
  </si>
  <si>
    <t>CUST-1013</t>
  </si>
  <si>
    <t>SKU-1010</t>
  </si>
  <si>
    <t>Whiteboard</t>
  </si>
  <si>
    <t>Office Supplies</t>
  </si>
  <si>
    <t>ORD-5181</t>
  </si>
  <si>
    <t>CUST-1038</t>
  </si>
  <si>
    <t>Nort h</t>
  </si>
  <si>
    <t>ORD-5172</t>
  </si>
  <si>
    <t>04/29/2026</t>
  </si>
  <si>
    <t>CUST-1023</t>
  </si>
  <si>
    <t>SKU-1004</t>
  </si>
  <si>
    <t>Standing Desk</t>
  </si>
  <si>
    <t>ORD-5114</t>
  </si>
  <si>
    <t>CENTRAL</t>
  </si>
  <si>
    <t>R001</t>
  </si>
  <si>
    <t>ORD-5154</t>
  </si>
  <si>
    <t>2025-12-06</t>
  </si>
  <si>
    <t>Centr al</t>
  </si>
  <si>
    <t>ORD-5061</t>
  </si>
  <si>
    <t>N/A</t>
  </si>
  <si>
    <t>ORD-5129</t>
  </si>
  <si>
    <t>CUST-1002</t>
  </si>
  <si>
    <t>SOUTH</t>
  </si>
  <si>
    <t>SKU-1007</t>
  </si>
  <si>
    <t>Monitor</t>
  </si>
  <si>
    <t>ORD-5027</t>
  </si>
  <si>
    <t>S.</t>
  </si>
  <si>
    <t>ORD-5064</t>
  </si>
  <si>
    <t>ORD-5124</t>
  </si>
  <si>
    <t>24-03-2026</t>
  </si>
  <si>
    <t>ORD-5170</t>
  </si>
  <si>
    <t>2026-01-06</t>
  </si>
  <si>
    <t>SKU-1005</t>
  </si>
  <si>
    <t>Notebook</t>
  </si>
  <si>
    <t>ORD-5153</t>
  </si>
  <si>
    <t>CUST-1006</t>
  </si>
  <si>
    <t>ORD-5050</t>
  </si>
  <si>
    <t>03/05/2026</t>
  </si>
  <si>
    <t>CUST-1017</t>
  </si>
  <si>
    <t>SKU-1002</t>
  </si>
  <si>
    <t>Headphones</t>
  </si>
  <si>
    <t>ORD-5049</t>
  </si>
  <si>
    <t>2026-03-10</t>
  </si>
  <si>
    <t>CUST-1035</t>
  </si>
  <si>
    <t>ORD-5103</t>
  </si>
  <si>
    <t>02/15/2026</t>
  </si>
  <si>
    <t>CUST-1012</t>
  </si>
  <si>
    <t>SKU-1009</t>
  </si>
  <si>
    <t>Filing Cabinet</t>
  </si>
  <si>
    <t>ORD-5089</t>
  </si>
  <si>
    <t>CUST-1021</t>
  </si>
  <si>
    <t>ORD-5111</t>
  </si>
  <si>
    <t>ORD-5100</t>
  </si>
  <si>
    <t>2026-04-18</t>
  </si>
  <si>
    <t>ORD-5022</t>
  </si>
  <si>
    <t>12/31/2025</t>
  </si>
  <si>
    <t>CUST-1026</t>
  </si>
  <si>
    <t>WEST</t>
  </si>
  <si>
    <t>ORD-5091</t>
  </si>
  <si>
    <t>04/16/2026</t>
  </si>
  <si>
    <t>CUST-1031</t>
  </si>
  <si>
    <t>ORD-5016</t>
  </si>
  <si>
    <t>04/26/2026</t>
  </si>
  <si>
    <t>CUST-1019</t>
  </si>
  <si>
    <t>ORD-5177</t>
  </si>
  <si>
    <t>ORD-5159</t>
  </si>
  <si>
    <t>01/28/2026</t>
  </si>
  <si>
    <t>ORD-5073</t>
  </si>
  <si>
    <t>CUST-1005</t>
  </si>
  <si>
    <t>ORD-5110</t>
  </si>
  <si>
    <t>2025-12-26</t>
  </si>
  <si>
    <t>ORD-5041</t>
  </si>
  <si>
    <t>CUST-1039</t>
  </si>
  <si>
    <t>east</t>
  </si>
  <si>
    <t>ORD-5163</t>
  </si>
  <si>
    <t>01/26/2026</t>
  </si>
  <si>
    <t>ORD-5071</t>
  </si>
  <si>
    <t>CUST-1008</t>
  </si>
  <si>
    <t>ORD-5219</t>
  </si>
  <si>
    <t>2026-01-16</t>
  </si>
  <si>
    <t>CUST-1034</t>
  </si>
  <si>
    <t>ORD-5192</t>
  </si>
  <si>
    <t>26-04-2026</t>
  </si>
  <si>
    <t>ORD-5136</t>
  </si>
  <si>
    <t>2026-04-10</t>
  </si>
  <si>
    <t>ORD-5001</t>
  </si>
  <si>
    <t>2026-04-01</t>
  </si>
  <si>
    <t>ORD-5155</t>
  </si>
  <si>
    <t>2026-03-21</t>
  </si>
  <si>
    <t>ORD-5119</t>
  </si>
  <si>
    <t>CUST-1027</t>
  </si>
  <si>
    <t>ORD-5182</t>
  </si>
  <si>
    <t>03-02-2026</t>
  </si>
  <si>
    <t>CUST-1020</t>
  </si>
  <si>
    <t>ORD-5086</t>
  </si>
  <si>
    <t>04/15/2026</t>
  </si>
  <si>
    <t>ORD-5186</t>
  </si>
  <si>
    <t>2025-11-28</t>
  </si>
  <si>
    <t>ORD-5210</t>
  </si>
  <si>
    <t>ORD-5215</t>
  </si>
  <si>
    <t>2025-11-06</t>
  </si>
  <si>
    <t>CUST-1016</t>
  </si>
  <si>
    <t>ORD-5150</t>
  </si>
  <si>
    <t>2026-03-09</t>
  </si>
  <si>
    <t>CUST-1010</t>
  </si>
  <si>
    <t>south</t>
  </si>
  <si>
    <t>ORD-5218</t>
  </si>
  <si>
    <t>12/01/2025</t>
  </si>
  <si>
    <t>ORD-5087</t>
  </si>
  <si>
    <t>03/22/2026</t>
  </si>
  <si>
    <t>CUST-1024</t>
  </si>
  <si>
    <t>ORD-5080</t>
  </si>
  <si>
    <t>29-12-2025</t>
  </si>
  <si>
    <t>ORD-5148</t>
  </si>
  <si>
    <t>21-02-2026</t>
  </si>
  <si>
    <t>ORD-5123</t>
  </si>
  <si>
    <t>03/04/2026</t>
  </si>
  <si>
    <t>ORD-5167</t>
  </si>
  <si>
    <t>2026-04-23</t>
  </si>
  <si>
    <t>ORD-5075</t>
  </si>
  <si>
    <t>04/10/2026</t>
  </si>
  <si>
    <t>NORTH</t>
  </si>
  <si>
    <t>ORD-5066</t>
  </si>
  <si>
    <t>03/13/2026</t>
  </si>
  <si>
    <t>ORD-5166</t>
  </si>
  <si>
    <t>15-11-2025</t>
  </si>
  <si>
    <t>CUST-1025</t>
  </si>
  <si>
    <t>ORD-5185</t>
  </si>
  <si>
    <t>30-01-2026</t>
  </si>
  <si>
    <t>CUST-1003</t>
  </si>
  <si>
    <t>ORD-5093</t>
  </si>
  <si>
    <t>2026-04-09</t>
  </si>
  <si>
    <t>ORD-5008</t>
  </si>
  <si>
    <t>01/20/2026</t>
  </si>
  <si>
    <t>ORD-5190</t>
  </si>
  <si>
    <t>-</t>
  </si>
  <si>
    <t>ORD-5000</t>
  </si>
  <si>
    <t>13-04-2026</t>
  </si>
  <si>
    <t>CUST-1001</t>
  </si>
  <si>
    <t>ORD-5006</t>
  </si>
  <si>
    <t>ORD-5009</t>
  </si>
  <si>
    <t>2026-03-30</t>
  </si>
  <si>
    <t>CUST-1037</t>
  </si>
  <si>
    <t>ORD-5004</t>
  </si>
  <si>
    <t>05-02-2026</t>
  </si>
  <si>
    <t>ORD-5067</t>
  </si>
  <si>
    <t>05-11-2025</t>
  </si>
  <si>
    <t>CUST-1018</t>
  </si>
  <si>
    <t>ORD-5007</t>
  </si>
  <si>
    <t>ORD-5139</t>
  </si>
  <si>
    <t>2026-04-07</t>
  </si>
  <si>
    <t>ORD-5195</t>
  </si>
  <si>
    <t>11/16/2025</t>
  </si>
  <si>
    <t>CUST-1033</t>
  </si>
  <si>
    <t>ORD-5078</t>
  </si>
  <si>
    <t>ORD-5069</t>
  </si>
  <si>
    <t>ORD-5017</t>
  </si>
  <si>
    <t>26-01-2026</t>
  </si>
  <si>
    <t>ORD-5203</t>
  </si>
  <si>
    <t>16-12-2025</t>
  </si>
  <si>
    <t>ORD-5202</t>
  </si>
  <si>
    <t>ORD-5021</t>
  </si>
  <si>
    <t>2026-01-11</t>
  </si>
  <si>
    <t>ORD-5058</t>
  </si>
  <si>
    <t>01/03/2026</t>
  </si>
  <si>
    <t>ORD-5079</t>
  </si>
  <si>
    <t>2026-03-19</t>
  </si>
  <si>
    <t>ORD-5132</t>
  </si>
  <si>
    <t>2026-02-18</t>
  </si>
  <si>
    <t>ORD-5032</t>
  </si>
  <si>
    <t>10-01-2026</t>
  </si>
  <si>
    <t>ORD-5043</t>
  </si>
  <si>
    <t>ORD-5146</t>
  </si>
  <si>
    <t>12/28/2025</t>
  </si>
  <si>
    <t>CUST-1009</t>
  </si>
  <si>
    <t>ORD-5116</t>
  </si>
  <si>
    <t>ORD-5031</t>
  </si>
  <si>
    <t>01/27/2026</t>
  </si>
  <si>
    <t>Central</t>
  </si>
  <si>
    <t>ORD-5113</t>
  </si>
  <si>
    <t>08-12-2025</t>
  </si>
  <si>
    <t>ORD-5194</t>
  </si>
  <si>
    <t>2025-11-05</t>
  </si>
  <si>
    <t>ORD-5029</t>
  </si>
  <si>
    <t>01/12/2026</t>
  </si>
  <si>
    <t>ORD-5042</t>
  </si>
  <si>
    <t>ORD-5025</t>
  </si>
  <si>
    <t>03/03/2026</t>
  </si>
  <si>
    <t>ORD-5019</t>
  </si>
  <si>
    <t>2026-03-28</t>
  </si>
  <si>
    <t>ORD-5037</t>
  </si>
  <si>
    <t>ORD-5140</t>
  </si>
  <si>
    <t>2026-04-04</t>
  </si>
  <si>
    <t>ORD-5117</t>
  </si>
  <si>
    <t>22-02-2026</t>
  </si>
  <si>
    <t>ORD-5095</t>
  </si>
  <si>
    <t>ORD-5217</t>
  </si>
  <si>
    <t>2026-02-06</t>
  </si>
  <si>
    <t>ORD-5028</t>
  </si>
  <si>
    <t>26-02-2026</t>
  </si>
  <si>
    <t>ORD-5120</t>
  </si>
  <si>
    <t>ORD-5002</t>
  </si>
  <si>
    <t>2025-12-27</t>
  </si>
  <si>
    <t>ORD-5144</t>
  </si>
  <si>
    <t>02-04-2026</t>
  </si>
  <si>
    <t>ORD-5152</t>
  </si>
  <si>
    <t>ORD-5127</t>
  </si>
  <si>
    <t>22-11-2025</t>
  </si>
  <si>
    <t>South</t>
  </si>
  <si>
    <t>ORD-5005</t>
  </si>
  <si>
    <t>14-01-2026</t>
  </si>
  <si>
    <t>ORD-5131</t>
  </si>
  <si>
    <t>ORD-5108</t>
  </si>
  <si>
    <t>11/25/2025</t>
  </si>
  <si>
    <t>ORD-5174</t>
  </si>
  <si>
    <t>2026-01-19</t>
  </si>
  <si>
    <t>CUST-1030</t>
  </si>
  <si>
    <t>ORD-5026</t>
  </si>
  <si>
    <t>03/26/2026</t>
  </si>
  <si>
    <t>ORD-5040</t>
  </si>
  <si>
    <t>2025-11-12</t>
  </si>
  <si>
    <t>ORD-5107</t>
  </si>
  <si>
    <t>15-04-2026</t>
  </si>
  <si>
    <t>ORD-5183</t>
  </si>
  <si>
    <t>2026-02-07</t>
  </si>
  <si>
    <t>ORD-5206</t>
  </si>
  <si>
    <t>CUST-1036</t>
  </si>
  <si>
    <t>ORD-5092</t>
  </si>
  <si>
    <t>2025-11-26</t>
  </si>
  <si>
    <t>ORD-5196</t>
  </si>
  <si>
    <t>31-02-2026</t>
  </si>
  <si>
    <t>ORD-5214</t>
  </si>
  <si>
    <t>2025-11-15</t>
  </si>
  <si>
    <t>ORD-5125</t>
  </si>
  <si>
    <t>12/17/2025</t>
  </si>
  <si>
    <t>ORD-5063</t>
  </si>
  <si>
    <t>ORD-5157</t>
  </si>
  <si>
    <t>ORD-5046</t>
  </si>
  <si>
    <t>06-04-2026</t>
  </si>
  <si>
    <t>ORD-5033</t>
  </si>
  <si>
    <t>03-11-2025</t>
  </si>
  <si>
    <t>ORD-5039</t>
  </si>
  <si>
    <t>ORD-5045</t>
  </si>
  <si>
    <t>11/24/2025</t>
  </si>
  <si>
    <t>ORD-5083</t>
  </si>
  <si>
    <t>2025-11-01</t>
  </si>
  <si>
    <t>ORD-5211</t>
  </si>
  <si>
    <t>2026-02-15</t>
  </si>
  <si>
    <t>ORD-5216</t>
  </si>
  <si>
    <t>2025-11-18</t>
  </si>
  <si>
    <t>ORD-5161</t>
  </si>
  <si>
    <t>22-12-2025</t>
  </si>
  <si>
    <t>ORD-5072</t>
  </si>
  <si>
    <t>2026-01-04</t>
  </si>
  <si>
    <t>ORD-5207</t>
  </si>
  <si>
    <t>2025-11-23</t>
  </si>
  <si>
    <t>ORD-5184</t>
  </si>
  <si>
    <t>2026-02-28</t>
  </si>
  <si>
    <t>ORD-5101</t>
  </si>
  <si>
    <t>ORD-5156</t>
  </si>
  <si>
    <t>17-11-2025</t>
  </si>
  <si>
    <t>ORD-5158</t>
  </si>
  <si>
    <t>20-03-2026</t>
  </si>
  <si>
    <t>ORD-5141</t>
  </si>
  <si>
    <t>ORD-5030</t>
  </si>
  <si>
    <t>19-04-2026</t>
  </si>
  <si>
    <t>ORD-5165</t>
  </si>
  <si>
    <t>2026-04-26</t>
  </si>
  <si>
    <t>ORD-5054</t>
  </si>
  <si>
    <t>ORD-5003</t>
  </si>
  <si>
    <t>27-11-2025</t>
  </si>
  <si>
    <t>ORD-5205</t>
  </si>
  <si>
    <t>01/09/2026</t>
  </si>
  <si>
    <t>ORD-5085</t>
  </si>
  <si>
    <t>ORD-5053</t>
  </si>
  <si>
    <t>03-03-2026</t>
  </si>
  <si>
    <t>ORD-5122</t>
  </si>
  <si>
    <t>2026-04-20</t>
  </si>
  <si>
    <t>ORD-5149</t>
  </si>
  <si>
    <t>ORD-5018</t>
  </si>
  <si>
    <t>ORD-5010</t>
  </si>
  <si>
    <t>12/10/2025</t>
  </si>
  <si>
    <t>ORD-5175</t>
  </si>
  <si>
    <t>ORD-5068</t>
  </si>
  <si>
    <t>2026-01-28</t>
  </si>
  <si>
    <t>ORD-5013</t>
  </si>
  <si>
    <t>16-03-2026</t>
  </si>
  <si>
    <t>ORD-5048</t>
  </si>
  <si>
    <t>2025-12-02</t>
  </si>
  <si>
    <t>ORD-5191</t>
  </si>
  <si>
    <t>ORD-5023</t>
  </si>
  <si>
    <t>ORD-5094</t>
  </si>
  <si>
    <t>10-11-2025</t>
  </si>
  <si>
    <t>ORD-5115</t>
  </si>
  <si>
    <t>2025-11-17</t>
  </si>
  <si>
    <t>ORD-5020</t>
  </si>
  <si>
    <t>14-11-2025</t>
  </si>
  <si>
    <t>ORD-5084</t>
  </si>
  <si>
    <t>01/08/2026</t>
  </si>
  <si>
    <t>ORD-5052</t>
  </si>
  <si>
    <t>ORD-5065</t>
  </si>
  <si>
    <t>2025-12-17</t>
  </si>
  <si>
    <t>ORD-5099</t>
  </si>
  <si>
    <t>2025-12-21</t>
  </si>
  <si>
    <t>ORD-5034</t>
  </si>
  <si>
    <t>ORD-5135</t>
  </si>
  <si>
    <t>01/29/2026</t>
  </si>
  <si>
    <t>ORD-5179</t>
  </si>
  <si>
    <t>ORD-5200</t>
  </si>
  <si>
    <t>04/07/2026</t>
  </si>
  <si>
    <t>ORD-5143</t>
  </si>
  <si>
    <t>04/18/2026</t>
  </si>
  <si>
    <t>ORD-5118</t>
  </si>
  <si>
    <t>2026-01-23</t>
  </si>
  <si>
    <t>ORD-5204</t>
  </si>
  <si>
    <t>26-03-2026</t>
  </si>
  <si>
    <t>ORD-5176</t>
  </si>
  <si>
    <t>ORD-5057</t>
  </si>
  <si>
    <t>04-01-2026</t>
  </si>
  <si>
    <t>ORD-5121</t>
  </si>
  <si>
    <t>ORD-5137</t>
  </si>
  <si>
    <t>ORD-5047</t>
  </si>
  <si>
    <t>ORD-5096</t>
  </si>
  <si>
    <t>02/14/2026</t>
  </si>
  <si>
    <t>ORD-5199</t>
  </si>
  <si>
    <t>ORD-5038</t>
  </si>
  <si>
    <t>2026-04-14</t>
  </si>
  <si>
    <t>ORD-5104</t>
  </si>
  <si>
    <t>ORD-5106</t>
  </si>
  <si>
    <t>ORD-5178</t>
  </si>
  <si>
    <t>12/14/2025</t>
  </si>
  <si>
    <t>ORD-5212</t>
  </si>
  <si>
    <t>ORD-5134</t>
  </si>
  <si>
    <t>ORD-5097</t>
  </si>
  <si>
    <t>12/07/2025</t>
  </si>
  <si>
    <t>ORD-5171</t>
  </si>
  <si>
    <t>02/24/2026</t>
  </si>
  <si>
    <t>ORD-5164</t>
  </si>
  <si>
    <t>ORD-5088</t>
  </si>
  <si>
    <t>ORD-5126</t>
  </si>
  <si>
    <t>ORD-5109</t>
  </si>
  <si>
    <t>03/31/2026</t>
  </si>
  <si>
    <t>ORD-5173</t>
  </si>
  <si>
    <t>ORD-5160</t>
  </si>
  <si>
    <t>2026-02-27</t>
  </si>
  <si>
    <t>CUST-1011</t>
  </si>
  <si>
    <t>ORD-5044</t>
  </si>
  <si>
    <t>2026-02-22</t>
  </si>
  <si>
    <t>ORD-5188</t>
  </si>
  <si>
    <t>03-12-2025</t>
  </si>
  <si>
    <t>ORD-5151</t>
  </si>
  <si>
    <t>ORD-5142</t>
  </si>
  <si>
    <t>ORD-5015</t>
  </si>
  <si>
    <t>ORD-5070</t>
  </si>
  <si>
    <t>12-01-2026</t>
  </si>
  <si>
    <t>ORD-5076</t>
  </si>
  <si>
    <t>ORD-5105</t>
  </si>
  <si>
    <t>02-02-2026</t>
  </si>
  <si>
    <t>ORD-5056</t>
  </si>
  <si>
    <t>17-12-2025</t>
  </si>
  <si>
    <t>ORD-5133</t>
  </si>
  <si>
    <t>ORD-5036</t>
  </si>
  <si>
    <t>04/21/2026</t>
  </si>
  <si>
    <t>ORD-5077</t>
  </si>
  <si>
    <t>ORD-5060</t>
  </si>
  <si>
    <t>28-11-2025</t>
  </si>
  <si>
    <t>ORD-5082</t>
  </si>
  <si>
    <t>2026-04-27</t>
  </si>
  <si>
    <t>ORD-5197</t>
  </si>
  <si>
    <t>ORD-5213</t>
  </si>
  <si>
    <t>12/09/2025</t>
  </si>
  <si>
    <t>ORD-5081</t>
  </si>
  <si>
    <t>2026-02-20</t>
  </si>
  <si>
    <t>ORD-5147</t>
  </si>
  <si>
    <t>ORD-5187</t>
  </si>
  <si>
    <t>ORD-5208</t>
  </si>
  <si>
    <t>ORD-5074</t>
  </si>
  <si>
    <t>ORD-5128</t>
  </si>
  <si>
    <t>ORD-5035</t>
  </si>
  <si>
    <t>04/08/2026</t>
  </si>
  <si>
    <t>ORD-5014</t>
  </si>
  <si>
    <t>11/15/2025</t>
  </si>
  <si>
    <t>ORD-5198</t>
  </si>
  <si>
    <t>ORD-5193</t>
  </si>
  <si>
    <t>ORD-5055</t>
  </si>
  <si>
    <t>ORD-5138</t>
  </si>
  <si>
    <t>ORD-5059</t>
  </si>
  <si>
    <t>ORD-5112</t>
  </si>
  <si>
    <t>01/25/2026</t>
  </si>
  <si>
    <t>ORD-5102</t>
  </si>
  <si>
    <t>25-11-2025</t>
  </si>
  <si>
    <t>ORD-5011</t>
  </si>
  <si>
    <t>24-04-2026</t>
  </si>
  <si>
    <t>ORD-5189</t>
  </si>
  <si>
    <t>11-02-2026</t>
  </si>
  <si>
    <t>ORD-5062</t>
  </si>
  <si>
    <t>27-01-2026</t>
  </si>
  <si>
    <t>ORD-5012</t>
  </si>
  <si>
    <t>01/07/2026</t>
  </si>
  <si>
    <t>ORD-5180</t>
  </si>
  <si>
    <t>2026-01-17</t>
  </si>
  <si>
    <t>Account_Manager</t>
  </si>
  <si>
    <t>Email</t>
  </si>
  <si>
    <t>Region_Assigned</t>
  </si>
  <si>
    <t>Anita Sharma</t>
  </si>
  <si>
    <t>anita.s@company.com</t>
  </si>
  <si>
    <t>Rahul Verma</t>
  </si>
  <si>
    <t>rahul.v@company.com</t>
  </si>
  <si>
    <t>Priya Iyer</t>
  </si>
  <si>
    <t>priya.i@company.com</t>
  </si>
  <si>
    <t>Karan Mehta</t>
  </si>
  <si>
    <t>karan.m@company.com</t>
  </si>
  <si>
    <t>Sneha Reddy</t>
  </si>
  <si>
    <t>sneha.r@company.com</t>
  </si>
  <si>
    <t>Vikram Nair</t>
  </si>
  <si>
    <t>vikram.n@company.com</t>
  </si>
  <si>
    <t>Note:</t>
  </si>
  <si>
    <t>Targets are in INR. Candidate should compute Achievement % = Actual / Target.</t>
  </si>
  <si>
    <t>Duplicate Flag</t>
  </si>
  <si>
    <t>Net Revenue</t>
  </si>
  <si>
    <t>Data_Quality_Flag</t>
  </si>
  <si>
    <t>Account Manager</t>
  </si>
  <si>
    <t>Regional Summary</t>
  </si>
  <si>
    <t>Unique Customers</t>
  </si>
  <si>
    <t>Revenue by Customer</t>
  </si>
  <si>
    <t>Total Net Revenue</t>
  </si>
  <si>
    <t>Average Order Value</t>
  </si>
  <si>
    <t>Monthly Revenue Trend</t>
  </si>
  <si>
    <t>Delta</t>
  </si>
  <si>
    <t>Growth %</t>
  </si>
  <si>
    <t>Achievement %</t>
  </si>
  <si>
    <t>Top 5 Customers</t>
  </si>
  <si>
    <t>Customer</t>
  </si>
  <si>
    <t>Revenue Pivot -  Net Revenue by Region and Month</t>
  </si>
  <si>
    <t>Sum of Net Revenue</t>
  </si>
  <si>
    <t>Column Labels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</si>
  <si>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</si>
  <si>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</si>
  <si>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</si>
  <si>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</si>
  <si>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</si>
  <si>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</si>
  <si>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</si>
  <si>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</si>
  <si>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</si>
  <si>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</si>
  <si>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</si>
  <si>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</si>
  <si>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</si>
  <si>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</t>
  </si>
  <si>
    <t>Grand Total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</si>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</sst>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yyyy\-mm\-dd\ h:mm:ss"/>
    <numFmt numFmtId="165" formatCode="&quot;₹&quot;#,##0"/>
    <numFmt numFmtId="166" formatCode="[$-F800]dddd\,\ mmmm\ dd\,\ yyyy"/>
    <numFmt numFmtId="167" formatCode="0.0000"/>
    <numFmt numFmtId="168" formatCode="_ * #,##0_ ;_ * \-#,##0_ ;_ * &quot;-&quot;??_ ;_ @_ "/>
    <numFmt numFmtId="169" formatCode="&quot;₹&quot;\ #,##0.00"/>
    <numFmt numFmtId="170" formatCode="&quot;₹&quot;\ #,##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20"/>
      <color rgb="FFFFFFFF"/>
      <name val="Calibri"/>
    </font>
    <font>
      <i/>
      <sz val="12"/>
      <name val="Calibri"/>
    </font>
    <font>
      <b/>
      <sz val="12"/>
      <name val="Calibri"/>
    </font>
    <font>
      <b/>
      <i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/>
    <xf numFmtId="43" fontId="7" fillId="0" borderId="0"/>
  </cellStyleXfs>
  <cellXfs count="6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5" fontId="0" fillId="0" borderId="0" xfId="0" applyNumberFormat="1"/>
    <xf numFmtId="0" fontId="4" fillId="0" borderId="0" xfId="0" applyFont="1"/>
    <xf numFmtId="166" fontId="2" fillId="2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2" borderId="0" xfId="0" applyFont="1" applyFill="1" applyAlignment="1">
      <alignment horizontal="right"/>
    </xf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9" fillId="3" borderId="0" xfId="0" applyFont="1" applyFill="1"/>
    <xf numFmtId="0" fontId="10" fillId="0" borderId="0" xfId="0" applyFont="1"/>
    <xf numFmtId="0" fontId="8" fillId="3" borderId="0" xfId="0" applyFont="1" applyFill="1"/>
    <xf numFmtId="9" fontId="0" fillId="0" borderId="0" xfId="1" applyFont="1"/>
    <xf numFmtId="9" fontId="0" fillId="4" borderId="0" xfId="1" applyFont="1" applyFill="1"/>
    <xf numFmtId="9" fontId="0" fillId="5" borderId="0" xfId="1" applyFont="1" applyFill="1"/>
    <xf numFmtId="0" fontId="1" fillId="3" borderId="0" xfId="0" applyFont="1" applyFill="1"/>
    <xf numFmtId="43" fontId="0" fillId="0" borderId="0" xfId="2" applyFont="1"/>
    <xf numFmtId="167" fontId="0" fillId="4" borderId="0" xfId="0" applyNumberFormat="1" applyFill="1"/>
    <xf numFmtId="167" fontId="0" fillId="0" borderId="0" xfId="0" applyNumberFormat="1"/>
    <xf numFmtId="0" fontId="2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/>
    </xf>
    <xf numFmtId="0" fontId="1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166" fontId="2" fillId="2" borderId="0" xfId="0" applyNumberFormat="1" applyFont="1" applyFill="1" applyAlignment="1">
      <alignment horizontal="center"/>
    </xf>
    <xf numFmtId="168" fontId="7" fillId="0" borderId="0" xfId="2" applyNumberFormat="1"/>
    <xf numFmtId="169" fontId="0" fillId="0" borderId="0" xfId="2" applyNumberFormat="1" applyFont="1"/>
    <xf numFmtId="170" fontId="0" fillId="0" borderId="0" xfId="2" applyNumberFormat="1" applyFont="1"/>
    <xf numFmtId="44" fontId="0" fillId="0" borderId="0" xfId="2" applyNumberFormat="1" applyFont="1"/>
    <xf numFmtId="44" fontId="0" fillId="0" borderId="0" xfId="0" applyNumberFormat="1"/>
    <xf numFmtId="169" fontId="0" fillId="0" borderId="0" xfId="0" applyNumberFormat="1" applyAlignment="1">
      <alignment horizontal="center" vertical="center"/>
    </xf>
    <xf numFmtId="169" fontId="7" fillId="0" borderId="0" xfId="2" applyNumberFormat="1"/>
    <xf numFmtId="170" fontId="7" fillId="0" borderId="0" xfId="2" applyNumberFormat="1"/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10" borderId="0" xfId="0" applyFont="1" applyFill="1" applyAlignment="1">
      <alignment horizontal="left" vertical="top" wrapText="1"/>
    </xf>
    <xf numFmtId="0" fontId="13" fillId="9" borderId="0" xfId="0" applyFont="1" applyFill="1" applyAlignment="1">
      <alignment horizontal="left" vertical="top"/>
    </xf>
    <xf numFmtId="0" fontId="13" fillId="9" borderId="0" xfId="0" applyFont="1" applyFill="1" applyAlignment="1">
      <alignment vertical="top" wrapText="1"/>
    </xf>
    <xf numFmtId="0" fontId="0" fillId="0" borderId="0" xfId="0"/>
    <xf numFmtId="0" fontId="11" fillId="8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/>
    </xf>
    <xf numFmtId="0" fontId="0" fillId="10" borderId="0" xfId="0" applyFill="1" applyAlignment="1">
      <alignment horizontal="left" vertical="top" wrapText="1"/>
    </xf>
    <xf numFmtId="0" fontId="0" fillId="10" borderId="0" xfId="0" applyFill="1" applyAlignment="1">
      <alignment horizontal="left"/>
    </xf>
    <xf numFmtId="0" fontId="5" fillId="0" borderId="0" xfId="0" applyFont="1"/>
    <xf numFmtId="44" fontId="0" fillId="0" borderId="0" xfId="0" applyNumberFormat="1" applyFont="1" applyFill="1" applyBorder="1" applyAlignment="1" applyProtection="1"/>
  </cellXfs>
  <cellStyles count="3">
    <cellStyle name="Comma" xfId="2" builtinId="3"/>
    <cellStyle name="Normal" xfId="0" builtinId="0"/>
    <cellStyle name="Percent" xfId="1" builtinId="5"/>
  </cellStyles>
  <dxfs count="38"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4" formatCode="_ &quot;₹&quot;\ * #,##0.00_ ;_ &quot;₹&quot;\ * \-#,##0.00_ ;_ &quot;₹&quot;\ * &quot;-&quot;??_ ;_ @_ 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4" formatCode="_ &quot;₹&quot;\ * #,##0.00_ ;_ &quot;₹&quot;\ * \-#,##0.00_ ;_ &quot;₹&quot;\ * &quot;-&quot;??_ ;_ @_ 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4" formatCode="_ &quot;₹&quot;\ * #,##0.00_ ;_ &quot;₹&quot;\ * \-#,##0.00_ ;_ &quot;₹&quot;\ * &quot;-&quot;??_ ;_ @_ 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4" formatCode="_ &quot;₹&quot;\ * #,##0.00_ ;_ &quot;₹&quot;\ * \-#,##0.00_ ;_ &quot;₹&quot;\ * &quot;-&quot;??_ ;_ @_ 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Performance MIS Dashboard.xlsx]Pivot!PivotTable6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Pivot!$B$5:$B$11</c:f>
              <c:numCache>
                <c:formatCode>_("₹"* #,##0.00_);_("₹"* \(#,##0.00\);_("₹"* "-"??_);_(@_)</c:formatCode>
                <c:ptCount val="6"/>
                <c:pt idx="0">
                  <c:v>424000</c:v>
                </c:pt>
                <c:pt idx="1">
                  <c:v>195600</c:v>
                </c:pt>
                <c:pt idx="2">
                  <c:v>426670</c:v>
                </c:pt>
                <c:pt idx="3">
                  <c:v>871157.5</c:v>
                </c:pt>
                <c:pt idx="4">
                  <c:v>3000</c:v>
                </c:pt>
                <c:pt idx="5">
                  <c:v>411175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4628-8A15-ADC0B38EB32F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Pivot!$C$5:$C$11</c:f>
              <c:numCache>
                <c:formatCode>_("₹"* #,##0.00_);_("₹"* \(#,##0.00\);_("₹"* "-"??_);_(@_)</c:formatCode>
                <c:ptCount val="6"/>
                <c:pt idx="0">
                  <c:v>491370</c:v>
                </c:pt>
                <c:pt idx="1">
                  <c:v>609440</c:v>
                </c:pt>
                <c:pt idx="2">
                  <c:v>171327.5</c:v>
                </c:pt>
                <c:pt idx="3">
                  <c:v>673875</c:v>
                </c:pt>
                <c:pt idx="4">
                  <c:v>565040</c:v>
                </c:pt>
                <c:pt idx="5">
                  <c:v>509667.5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4628-8A15-ADC0B38EB32F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Pivot!$D$5:$D$11</c:f>
              <c:numCache>
                <c:formatCode>_("₹"* #,##0.00_);_("₹"* \(#,##0.00\);_("₹"* "-"??_);_(@_)</c:formatCode>
                <c:ptCount val="6"/>
                <c:pt idx="0">
                  <c:v>627550</c:v>
                </c:pt>
                <c:pt idx="1">
                  <c:v>419185</c:v>
                </c:pt>
                <c:pt idx="2">
                  <c:v>99140</c:v>
                </c:pt>
                <c:pt idx="3">
                  <c:v>393610</c:v>
                </c:pt>
                <c:pt idx="4">
                  <c:v>94500</c:v>
                </c:pt>
                <c:pt idx="5">
                  <c:v>1174500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4628-8A15-ADC0B38EB32F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Pivot!$E$5:$E$11</c:f>
              <c:numCache>
                <c:formatCode>_("₹"* #,##0.00_);_("₹"* \(#,##0.00\);_("₹"* "-"??_);_(@_)</c:formatCode>
                <c:ptCount val="6"/>
                <c:pt idx="0">
                  <c:v>264300</c:v>
                </c:pt>
                <c:pt idx="1">
                  <c:v>683180</c:v>
                </c:pt>
                <c:pt idx="2">
                  <c:v>2966335</c:v>
                </c:pt>
                <c:pt idx="3">
                  <c:v>511050</c:v>
                </c:pt>
                <c:pt idx="5">
                  <c:v>976732.5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4-4628-8A15-ADC0B38EB32F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Pivot!$F$5:$F$11</c:f>
              <c:numCache>
                <c:formatCode>_("₹"* #,##0.00_);_("₹"* \(#,##0.00\);_("₹"* "-"??_);_(@_)</c:formatCode>
                <c:ptCount val="6"/>
                <c:pt idx="0">
                  <c:v>56000</c:v>
                </c:pt>
                <c:pt idx="1">
                  <c:v>13500</c:v>
                </c:pt>
                <c:pt idx="2">
                  <c:v>57000</c:v>
                </c:pt>
                <c:pt idx="4">
                  <c:v>56000</c:v>
                </c:pt>
                <c:pt idx="5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4-4628-8A15-ADC0B38EB32F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Pivot!$G$5:$G$11</c:f>
              <c:numCache>
                <c:formatCode>_("₹"* #,##0.00_);_("₹"* \(#,##0.00\);_("₹"* "-"??_);_(@_)</c:formatCode>
                <c:ptCount val="6"/>
                <c:pt idx="1">
                  <c:v>115200</c:v>
                </c:pt>
                <c:pt idx="2">
                  <c:v>19360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14-4628-8A15-ADC0B38EB32F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Pivot!$H$5:$H$11</c:f>
              <c:numCache>
                <c:formatCode>_("₹"* #,##0.00_);_("₹"* \(#,##0.00\);_("₹"* "-"??_);_(@_)</c:formatCode>
                <c:ptCount val="6"/>
                <c:pt idx="2">
                  <c:v>67875</c:v>
                </c:pt>
                <c:pt idx="3">
                  <c:v>14875</c:v>
                </c:pt>
                <c:pt idx="5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14-4628-8A15-ADC0B38EB32F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Pivot!$I$5:$I$11</c:f>
              <c:numCache>
                <c:formatCode>_("₹"* #,##0.00_);_("₹"* \(#,##0.00\);_("₹"* "-"??_);_(@_)</c:formatCode>
                <c:ptCount val="6"/>
                <c:pt idx="1">
                  <c:v>17850</c:v>
                </c:pt>
                <c:pt idx="3">
                  <c:v>0</c:v>
                </c:pt>
                <c:pt idx="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14-4628-8A15-ADC0B38EB32F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Pivot!$J$5:$J$11</c:f>
              <c:numCache>
                <c:formatCode>_("₹"* #,##0.00_);_("₹"* \(#,##0.00\);_("₹"* "-"??_);_(@_)</c:formatCode>
                <c:ptCount val="6"/>
                <c:pt idx="0">
                  <c:v>5250</c:v>
                </c:pt>
                <c:pt idx="1">
                  <c:v>144000</c:v>
                </c:pt>
                <c:pt idx="3">
                  <c:v>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14-4628-8A15-ADC0B38EB32F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Pivot!$K$5:$K$11</c:f>
              <c:numCache>
                <c:formatCode>_("₹"* #,##0.00_);_("₹"* \(#,##0.00\);_("₹"* "-"??_);_(@_)</c:formatCode>
                <c:ptCount val="6"/>
                <c:pt idx="2">
                  <c:v>84100</c:v>
                </c:pt>
                <c:pt idx="3">
                  <c:v>19800</c:v>
                </c:pt>
                <c:pt idx="4">
                  <c:v>23625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14-4628-8A15-ADC0B38EB32F}"/>
            </c:ext>
          </c:extLst>
        </c:ser>
        <c:ser>
          <c:idx val="10"/>
          <c:order val="10"/>
          <c:tx>
            <c:strRef>
              <c:f>Pivot!$L$3:$L$4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Pivot!$L$5:$L$11</c:f>
              <c:numCache>
                <c:formatCode>_("₹"* #,##0.00_);_("₹"* \(#,##0.00\);_("₹"* "-"??_);_(@_)</c:formatCode>
                <c:ptCount val="6"/>
                <c:pt idx="0">
                  <c:v>1244732.5</c:v>
                </c:pt>
                <c:pt idx="1">
                  <c:v>775270</c:v>
                </c:pt>
                <c:pt idx="2">
                  <c:v>687575</c:v>
                </c:pt>
                <c:pt idx="3">
                  <c:v>393595</c:v>
                </c:pt>
                <c:pt idx="4">
                  <c:v>8412.5</c:v>
                </c:pt>
                <c:pt idx="5">
                  <c:v>623750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14-4628-8A15-ADC0B38EB32F}"/>
            </c:ext>
          </c:extLst>
        </c:ser>
        <c:ser>
          <c:idx val="11"/>
          <c:order val="11"/>
          <c:tx>
            <c:strRef>
              <c:f>Pivot!$M$3:$M$4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Pivot!$M$5:$M$11</c:f>
              <c:numCache>
                <c:formatCode>_("₹"* #,##0.00_);_("₹"* \(#,##0.00\);_("₹"* "-"??_);_(@_)</c:formatCode>
                <c:ptCount val="6"/>
                <c:pt idx="0">
                  <c:v>318675</c:v>
                </c:pt>
                <c:pt idx="1">
                  <c:v>157205</c:v>
                </c:pt>
                <c:pt idx="2">
                  <c:v>381177.5</c:v>
                </c:pt>
                <c:pt idx="3">
                  <c:v>274815</c:v>
                </c:pt>
                <c:pt idx="4">
                  <c:v>165000</c:v>
                </c:pt>
                <c:pt idx="5">
                  <c:v>611437.5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14-4628-8A15-ADC0B38EB32F}"/>
            </c:ext>
          </c:extLst>
        </c:ser>
        <c:ser>
          <c:idx val="12"/>
          <c:order val="12"/>
          <c:tx>
            <c:strRef>
              <c:f>Pivot!$N$3:$N$4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Pivot!$N$5:$N$11</c:f>
              <c:numCache>
                <c:formatCode>_("₹"* #,##0.00_);_("₹"* \(#,##0.00\);_("₹"* "-"??_);_(@_)</c:formatCode>
                <c:ptCount val="6"/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14-4628-8A15-ADC0B38EB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442767"/>
        <c:axId val="515456207"/>
      </c:barChart>
      <c:catAx>
        <c:axId val="5154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56207"/>
        <c:crosses val="autoZero"/>
        <c:auto val="1"/>
        <c:lblAlgn val="ctr"/>
        <c:lblOffset val="100"/>
        <c:noMultiLvlLbl val="0"/>
      </c:catAx>
      <c:valAx>
        <c:axId val="5154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Month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Analysis!$A$12:$A$17</c:f>
              <c:strCache>
                <c:ptCount val="6"/>
                <c:pt idx="0">
                  <c:v>Nov-2025</c:v>
                </c:pt>
                <c:pt idx="1">
                  <c:v>Dec-2025</c:v>
                </c:pt>
                <c:pt idx="2">
                  <c:v>Jan-2026</c:v>
                </c:pt>
                <c:pt idx="3">
                  <c:v>Feb-2026</c:v>
                </c:pt>
                <c:pt idx="4">
                  <c:v>Mar-2026</c:v>
                </c:pt>
                <c:pt idx="5">
                  <c:v>Apr-2026</c:v>
                </c:pt>
              </c:strCache>
            </c:strRef>
          </c:cat>
          <c:val>
            <c:numRef>
              <c:f>Analysis!$B$12:$B$17</c:f>
              <c:numCache>
                <c:formatCode>_("₹"* #,##0.00_);_("₹"* \(#,##0.00\);_("₹"* "-"??_);_(@_)</c:formatCode>
                <c:ptCount val="6"/>
                <c:pt idx="0">
                  <c:v>3190447.5</c:v>
                </c:pt>
                <c:pt idx="1">
                  <c:v>1422227.5</c:v>
                </c:pt>
                <c:pt idx="2">
                  <c:v>1703352.5</c:v>
                </c:pt>
                <c:pt idx="3">
                  <c:v>1460880</c:v>
                </c:pt>
                <c:pt idx="4">
                  <c:v>1901385</c:v>
                </c:pt>
                <c:pt idx="5">
                  <c:v>3630122.5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A-449E-84DB-378FC8A61D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55372432"/>
        <c:axId val="655372760"/>
      </c:lineChart>
      <c:catAx>
        <c:axId val="65537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72760"/>
        <c:crosses val="autoZero"/>
        <c:auto val="1"/>
        <c:lblAlgn val="ctr"/>
        <c:lblOffset val="100"/>
        <c:noMultiLvlLbl val="0"/>
      </c:catAx>
      <c:valAx>
        <c:axId val="65537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724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Net Revenue</a:t>
            </a:r>
          </a:p>
        </c:rich>
      </c:tx>
      <c:layout>
        <c:manualLayout>
          <c:xMode val="edge"/>
          <c:yMode val="edge"/>
          <c:x val="0.3479385195193796"/>
          <c:y val="1.44144144144144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Total Net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Analysis!$A$3:$A$7</c:f>
              <c:strCache>
                <c:ptCount val="5"/>
                <c:pt idx="0">
                  <c:v>West</c:v>
                </c:pt>
                <c:pt idx="1">
                  <c:v>Central</c:v>
                </c:pt>
                <c:pt idx="2">
                  <c:v>North</c:v>
                </c:pt>
                <c:pt idx="3">
                  <c:v>East</c:v>
                </c:pt>
                <c:pt idx="4">
                  <c:v>South</c:v>
                </c:pt>
              </c:strCache>
            </c:strRef>
          </c:cat>
          <c:val>
            <c:numRef>
              <c:f>Analysis!$C$3:$C$7</c:f>
              <c:numCache>
                <c:formatCode>"₹"\ #,##0.00</c:formatCode>
                <c:ptCount val="5"/>
                <c:pt idx="0">
                  <c:v>3907112.5</c:v>
                </c:pt>
                <c:pt idx="1">
                  <c:v>2588527.5</c:v>
                </c:pt>
                <c:pt idx="2">
                  <c:v>3182560</c:v>
                </c:pt>
                <c:pt idx="3">
                  <c:v>2467205</c:v>
                </c:pt>
                <c:pt idx="4">
                  <c:v>1990527.5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0-4E70-AC07-11705D42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70759664"/>
        <c:axId val="570759992"/>
      </c:barChart>
      <c:catAx>
        <c:axId val="570759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59992"/>
        <c:crosses val="autoZero"/>
        <c:auto val="1"/>
        <c:lblAlgn val="ctr"/>
        <c:lblOffset val="100"/>
        <c:noMultiLvlLbl val="0"/>
      </c:catAx>
      <c:valAx>
        <c:axId val="57075999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\ #,##0.00" sourceLinked="1"/>
        <c:majorTickMark val="none"/>
        <c:minorTickMark val="none"/>
        <c:tickLblPos val="nextTo"/>
        <c:crossAx val="5707596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11</xdr:row>
      <xdr:rowOff>166687</xdr:rowOff>
    </xdr:from>
    <xdr:to>
      <xdr:col>13</xdr:col>
      <xdr:colOff>47624</xdr:colOff>
      <xdr:row>33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86C5B-7951-A969-632A-05A38A86E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2</xdr:row>
      <xdr:rowOff>76200</xdr:rowOff>
    </xdr:from>
    <xdr:to>
      <xdr:col>9</xdr:col>
      <xdr:colOff>95250</xdr:colOff>
      <xdr:row>11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78C5241-DA6F-AD7C-62FA-FCE25B0AA72C}"/>
            </a:ext>
          </a:extLst>
        </xdr:cNvPr>
        <xdr:cNvSpPr/>
      </xdr:nvSpPr>
      <xdr:spPr>
        <a:xfrm>
          <a:off x="9353550" y="504825"/>
          <a:ext cx="1647825" cy="1809750"/>
        </a:xfrm>
        <a:prstGeom prst="roundRect">
          <a:avLst/>
        </a:prstGeom>
        <a:noFill/>
        <a:ln w="57150"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171450</xdr:colOff>
      <xdr:row>4</xdr:row>
      <xdr:rowOff>152400</xdr:rowOff>
    </xdr:from>
    <xdr:to>
      <xdr:col>1</xdr:col>
      <xdr:colOff>1781175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66674</xdr:colOff>
      <xdr:row>4</xdr:row>
      <xdr:rowOff>152399</xdr:rowOff>
    </xdr:from>
    <xdr:to>
      <xdr:col>5</xdr:col>
      <xdr:colOff>476249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" refreshedDate="46167.47253564815" createdVersion="8" refreshedVersion="8" minRefreshableVersion="3" recordCount="235" xr:uid="{00000000-000A-0000-FFFF-FFFF1A000000}">
  <cacheSource type="worksheet">
    <worksheetSource ref="A1:P236" sheet="Cleaned_Data"/>
  </cacheSource>
  <cacheFields count="16">
    <cacheField name="Order_ID" numFmtId="0">
      <sharedItems/>
    </cacheField>
    <cacheField name="Order_Date" numFmtId="166">
      <sharedItems containsDate="1" containsMixedTypes="1" minDate="2025-01-12T00:00:00" maxDate="2028-07-04T00:00:00"/>
    </cacheField>
    <cacheField name="Customer_ID" numFmtId="0">
      <sharedItems/>
    </cacheField>
    <cacheField name="Region" numFmtId="0">
      <sharedItems count="6">
        <s v="North"/>
        <s v="Central"/>
        <s v="East"/>
        <s v="West"/>
        <s v="Unknown"/>
        <s v="South"/>
      </sharedItems>
    </cacheField>
    <cacheField name="Product_SKU" numFmtId="0">
      <sharedItems/>
    </cacheField>
    <cacheField name="Product_Name" numFmtId="0">
      <sharedItems/>
    </cacheField>
    <cacheField name="Product_Category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containsInteger="1" minValue="0" maxValue="65000"/>
    </cacheField>
    <cacheField name="Discount" numFmtId="0">
      <sharedItems containsSemiMixedTypes="0" containsString="0" containsNumber="1" minValue="0" maxValue="0.25"/>
    </cacheField>
    <cacheField name="Rep_ID" numFmtId="0">
      <sharedItems/>
    </cacheField>
    <cacheField name="Duplicate Flag" numFmtId="0">
      <sharedItems/>
    </cacheField>
    <cacheField name="Net Revenue" numFmtId="0">
      <sharedItems containsSemiMixedTypes="0" containsString="0" containsNumber="1" minValue="0" maxValue="741000"/>
    </cacheField>
    <cacheField name="Data_Quality_Flag" numFmtId="0">
      <sharedItems/>
    </cacheField>
    <cacheField name="Account Manager" numFmtId="0">
      <sharedItems/>
    </cacheField>
    <cacheField name="Month" numFmtId="0">
      <sharedItems count="13">
        <s v="December"/>
        <s v="April"/>
        <s v="August"/>
        <s v="January"/>
        <s v="June"/>
        <s v="May"/>
        <s v="November"/>
        <s v="NA"/>
        <s v="March"/>
        <s v="February"/>
        <s v="July"/>
        <s v="October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35">
  <r>
    <s v="ORD-5162"/>
    <d v="2025-12-19T00:00:00"/>
    <s v="CUST-1022"/>
    <x v="0"/>
    <s v="SKU-1006"/>
    <s v="Pen Set"/>
    <s v="Stationery"/>
    <n v="5"/>
    <n v="450"/>
    <n v="0.2"/>
    <s v="R004"/>
    <s v="Valid"/>
    <n v="1800"/>
    <s v="OK"/>
    <s v="Karan Mehta"/>
    <x v="0"/>
  </r>
  <r>
    <s v="ORD-5201"/>
    <d v="2027-12-04T00:00:00"/>
    <s v="CUST-1000"/>
    <x v="1"/>
    <s v="SKU-1003"/>
    <s v="Office Chair"/>
    <s v="Furniture"/>
    <n v="7"/>
    <n v="12000"/>
    <n v="0.1"/>
    <s v="R003"/>
    <s v="Valid"/>
    <n v="75600"/>
    <s v="OK"/>
    <s v="Priya Iyer"/>
    <x v="0"/>
  </r>
  <r>
    <s v="ORD-5169"/>
    <d v="2026-04-16T00:00:00"/>
    <s v="CUST-1015"/>
    <x v="0"/>
    <s v="SKU-1001"/>
    <s v="Laptop"/>
    <s v="Electronics"/>
    <n v="12"/>
    <n v="65000"/>
    <n v="0.05"/>
    <s v="R003"/>
    <s v="Valid"/>
    <n v="741000"/>
    <s v="OK"/>
    <s v="Priya Iyer"/>
    <x v="1"/>
  </r>
  <r>
    <s v="ORD-5168"/>
    <d v="2026-04-04T00:00:00"/>
    <s v="CUST-1028"/>
    <x v="2"/>
    <s v="SKU-1006"/>
    <s v="Pen Set"/>
    <s v="Stationery"/>
    <n v="8"/>
    <n v="450"/>
    <n v="0.2"/>
    <s v="R003"/>
    <s v="Valid"/>
    <n v="2880"/>
    <s v="OK"/>
    <s v="Priya Iyer"/>
    <x v="1"/>
  </r>
  <r>
    <s v="ORD-5098"/>
    <d v="2027-08-03T00:00:00"/>
    <s v="CUST-1004"/>
    <x v="3"/>
    <s v="SKU-1006"/>
    <s v="Pen Set"/>
    <s v="Stationery"/>
    <n v="10"/>
    <n v="450"/>
    <n v="0.2"/>
    <s v="R003"/>
    <s v="Valid"/>
    <n v="3600"/>
    <s v="OK"/>
    <s v="Priya Iyer"/>
    <x v="2"/>
  </r>
  <r>
    <s v="ORD-5209"/>
    <d v="2026-04-20T00:00:00"/>
    <s v="CUST-1029"/>
    <x v="2"/>
    <s v="SKU-1003"/>
    <s v="Office Chair"/>
    <s v="Furniture"/>
    <n v="7"/>
    <n v="12000"/>
    <n v="0.15"/>
    <s v="R006"/>
    <s v="Valid"/>
    <n v="71400"/>
    <s v="OK"/>
    <s v="Vikram Nair"/>
    <x v="1"/>
  </r>
  <r>
    <s v="ORD-5145"/>
    <d v="2026-04-15T00:00:00"/>
    <s v="CUST-1032"/>
    <x v="2"/>
    <s v="SKU-1001"/>
    <s v="Laptop"/>
    <s v="Electronics"/>
    <n v="6"/>
    <n v="65000"/>
    <n v="0.2"/>
    <s v="R002"/>
    <s v="Valid"/>
    <n v="312000"/>
    <s v="OK"/>
    <s v="Rahul Verma"/>
    <x v="1"/>
  </r>
  <r>
    <s v="ORD-5130"/>
    <d v="2026-01-14T00:00:00"/>
    <s v="CUST-1007"/>
    <x v="0"/>
    <s v="SKU-1008"/>
    <s v="Keyboard"/>
    <s v="Electronics"/>
    <n v="12"/>
    <n v="3500"/>
    <n v="0.1"/>
    <s v="R005"/>
    <s v="Valid"/>
    <n v="37800"/>
    <s v="OK"/>
    <s v="Sneha Reddy"/>
    <x v="3"/>
  </r>
  <r>
    <s v="ORD-5090"/>
    <d v="2026-01-01T00:00:00"/>
    <s v="CUST-1014"/>
    <x v="3"/>
    <s v="SKU-1001"/>
    <s v="Laptop"/>
    <s v="Electronics"/>
    <n v="6"/>
    <n v="65000"/>
    <n v="0.2"/>
    <s v="R006"/>
    <s v="Valid"/>
    <n v="312000"/>
    <s v="OK"/>
    <s v="Vikram Nair"/>
    <x v="3"/>
  </r>
  <r>
    <s v="ORD-5051"/>
    <d v="2025-06-12T00:00:00"/>
    <s v="CUST-1014"/>
    <x v="2"/>
    <s v="SKU-1003"/>
    <s v="Office Chair"/>
    <s v="Furniture"/>
    <n v="12"/>
    <n v="12000"/>
    <n v="0.2"/>
    <s v="R004"/>
    <s v="Valid"/>
    <n v="115200"/>
    <s v="OK"/>
    <s v="Karan Mehta"/>
    <x v="4"/>
  </r>
  <r>
    <s v="ORD-5024"/>
    <d v="2025-12-19T00:00:00"/>
    <s v="CUST-1013"/>
    <x v="0"/>
    <s v="SKU-1010"/>
    <s v="Whiteboard"/>
    <s v="Office Supplies"/>
    <n v="12"/>
    <n v="2200"/>
    <n v="0"/>
    <s v="R005"/>
    <s v="Valid"/>
    <n v="26400"/>
    <s v="Missing Data"/>
    <s v="Sneha Reddy"/>
    <x v="0"/>
  </r>
  <r>
    <s v="ORD-5181"/>
    <d v="2025-12-23T00:00:00"/>
    <s v="CUST-1038"/>
    <x v="0"/>
    <s v="SKU-1006"/>
    <s v="Pen Set"/>
    <s v="Stationery"/>
    <n v="12"/>
    <n v="450"/>
    <n v="0.2"/>
    <s v="R002"/>
    <s v="Valid"/>
    <n v="4320"/>
    <s v="OK"/>
    <s v="Rahul Verma"/>
    <x v="0"/>
  </r>
  <r>
    <s v="ORD-5172"/>
    <d v="2028-05-04T00:00:00"/>
    <s v="CUST-1023"/>
    <x v="4"/>
    <s v="SKU-1004"/>
    <s v="Standing Desk"/>
    <s v="Furniture"/>
    <n v="2"/>
    <n v="28000"/>
    <n v="0"/>
    <s v="R004"/>
    <s v="Valid"/>
    <n v="56000"/>
    <s v="Missing Data"/>
    <s v="Karan Mehta"/>
    <x v="5"/>
  </r>
  <r>
    <s v="ORD-5114"/>
    <d v="2025-11-04T00:00:00"/>
    <s v="CUST-1015"/>
    <x v="1"/>
    <s v="SKU-1006"/>
    <s v="Pen Set"/>
    <s v="Stationery"/>
    <n v="1"/>
    <n v="450"/>
    <n v="0.25"/>
    <s v="R001"/>
    <s v="Valid"/>
    <n v="337.5"/>
    <s v="OK"/>
    <s v="Anita Sharma"/>
    <x v="6"/>
  </r>
  <r>
    <s v="ORD-5154"/>
    <d v="2025-12-06T00:00:00"/>
    <s v="CUST-1028"/>
    <x v="4"/>
    <s v="SKU-1001"/>
    <s v="Laptop"/>
    <s v="Electronics"/>
    <n v="2"/>
    <n v="0"/>
    <n v="0"/>
    <s v="R002"/>
    <s v="Valid"/>
    <n v="0"/>
    <s v="Missing Data"/>
    <s v="Rahul Verma"/>
    <x v="0"/>
  </r>
  <r>
    <s v="ORD-5061"/>
    <s v="NA"/>
    <s v="CUST-1038"/>
    <x v="0"/>
    <s v="SKU-1010"/>
    <s v="Whiteboard"/>
    <s v="Office Supplies"/>
    <n v="1"/>
    <n v="2200"/>
    <n v="0.25"/>
    <s v="R006"/>
    <s v="Valid"/>
    <n v="1650"/>
    <s v="Invalid Date"/>
    <s v="Vikram Nair"/>
    <x v="7"/>
  </r>
  <r>
    <s v="ORD-5129"/>
    <d v="2026-03-15T00:00:00"/>
    <s v="CUST-1002"/>
    <x v="5"/>
    <s v="SKU-1007"/>
    <s v="Monitor"/>
    <s v="Electronics"/>
    <n v="10"/>
    <n v="18000"/>
    <n v="0.1"/>
    <s v="R003"/>
    <s v="Valid"/>
    <n v="162000"/>
    <s v="OK"/>
    <s v="Priya Iyer"/>
    <x v="8"/>
  </r>
  <r>
    <s v="ORD-5027"/>
    <d v="2025-12-23T00:00:00"/>
    <s v="CUST-1015"/>
    <x v="5"/>
    <s v="SKU-1007"/>
    <s v="Monitor"/>
    <s v="Electronics"/>
    <n v="3"/>
    <n v="18000"/>
    <n v="0.05"/>
    <s v="R001"/>
    <s v="Valid"/>
    <n v="51300"/>
    <s v="OK"/>
    <s v="Anita Sharma"/>
    <x v="0"/>
  </r>
  <r>
    <s v="ORD-5064"/>
    <d v="2025-11-23T00:00:00"/>
    <s v="CUST-1028"/>
    <x v="5"/>
    <s v="SKU-1008"/>
    <s v="Keyboard"/>
    <s v="Electronics"/>
    <n v="10"/>
    <n v="3500"/>
    <n v="0"/>
    <s v="R003"/>
    <s v="Valid"/>
    <n v="35000"/>
    <s v="Missing Data"/>
    <s v="Priya Iyer"/>
    <x v="6"/>
  </r>
  <r>
    <s v="ORD-5124"/>
    <d v="2026-03-24T00:00:00"/>
    <s v="CUST-1038"/>
    <x v="5"/>
    <s v="SKU-1001"/>
    <s v="Laptop"/>
    <s v="Electronics"/>
    <n v="3"/>
    <n v="65000"/>
    <n v="0.15"/>
    <s v="R001"/>
    <s v="Valid"/>
    <n v="165750"/>
    <s v="OK"/>
    <s v="Anita Sharma"/>
    <x v="8"/>
  </r>
  <r>
    <s v="ORD-5170"/>
    <d v="2026-01-06T00:00:00"/>
    <s v="CUST-1013"/>
    <x v="4"/>
    <s v="SKU-1005"/>
    <s v="Notebook"/>
    <s v="Stationery"/>
    <n v="12"/>
    <n v="250"/>
    <n v="0"/>
    <s v="R001"/>
    <s v="Valid"/>
    <n v="3000"/>
    <s v="Missing Data"/>
    <s v="Anita Sharma"/>
    <x v="3"/>
  </r>
  <r>
    <s v="ORD-5153"/>
    <d v="2025-11-08T00:00:00"/>
    <s v="CUST-1006"/>
    <x v="4"/>
    <s v="SKU-1003"/>
    <s v="Office Chair"/>
    <s v="Furniture"/>
    <n v="3"/>
    <n v="0"/>
    <n v="0.2"/>
    <s v="R006"/>
    <s v="Valid"/>
    <n v="0"/>
    <s v="Missing Data"/>
    <s v="Vikram Nair"/>
    <x v="6"/>
  </r>
  <r>
    <s v="ORD-5050"/>
    <d v="2026-05-03T00:00:00"/>
    <s v="CUST-1017"/>
    <x v="3"/>
    <s v="SKU-1002"/>
    <s v="Headphones"/>
    <s v="Electronics"/>
    <n v="12"/>
    <n v="4500"/>
    <n v="0.25"/>
    <s v="R001"/>
    <s v="Valid"/>
    <n v="40500"/>
    <s v="OK"/>
    <s v="Anita Sharma"/>
    <x v="5"/>
  </r>
  <r>
    <s v="ORD-5049"/>
    <d v="2026-03-10T00:00:00"/>
    <s v="CUST-1035"/>
    <x v="3"/>
    <s v="SKU-1003"/>
    <s v="Office Chair"/>
    <s v="Furniture"/>
    <n v="12"/>
    <n v="12000"/>
    <n v="0.15"/>
    <s v="R005"/>
    <s v="Valid"/>
    <n v="122400"/>
    <s v="OK"/>
    <s v="Sneha Reddy"/>
    <x v="8"/>
  </r>
  <r>
    <s v="ORD-5103"/>
    <d v="2027-03-02T00:00:00"/>
    <s v="CUST-1012"/>
    <x v="0"/>
    <s v="SKU-1009"/>
    <s v="Filing Cabinet"/>
    <s v="Furniture"/>
    <n v="6"/>
    <n v="9500"/>
    <n v="0.15"/>
    <s v="R004"/>
    <s v="Valid"/>
    <n v="48450"/>
    <s v="OK"/>
    <s v="Karan Mehta"/>
    <x v="8"/>
  </r>
  <r>
    <s v="ORD-5089"/>
    <d v="2026-03-04T00:00:00"/>
    <s v="CUST-1021"/>
    <x v="1"/>
    <s v="SKU-1009"/>
    <s v="Filing Cabinet"/>
    <s v="Furniture"/>
    <n v="7"/>
    <n v="9500"/>
    <n v="0"/>
    <s v="R006"/>
    <s v="Valid"/>
    <n v="66500"/>
    <s v="Missing Data"/>
    <s v="Vikram Nair"/>
    <x v="8"/>
  </r>
  <r>
    <s v="ORD-5111"/>
    <d v="2026-02-10T00:00:00"/>
    <s v="CUST-1012"/>
    <x v="0"/>
    <s v="SKU-1008"/>
    <s v="Keyboard"/>
    <s v="Electronics"/>
    <n v="2"/>
    <n v="3500"/>
    <n v="0.05"/>
    <s v="R001"/>
    <s v="Valid"/>
    <n v="6650"/>
    <s v="OK"/>
    <s v="Anita Sharma"/>
    <x v="9"/>
  </r>
  <r>
    <s v="ORD-5100"/>
    <d v="2026-04-18T00:00:00"/>
    <s v="CUST-1017"/>
    <x v="0"/>
    <s v="SKU-1010"/>
    <s v="Whiteboard"/>
    <s v="Office Supplies"/>
    <n v="11"/>
    <n v="2200"/>
    <n v="0.2"/>
    <s v="R003"/>
    <s v="Valid"/>
    <n v="19360"/>
    <s v="OK"/>
    <s v="Priya Iyer"/>
    <x v="1"/>
  </r>
  <r>
    <s v="ORD-5022"/>
    <d v="2027-07-12T00:00:00"/>
    <s v="CUST-1026"/>
    <x v="3"/>
    <s v="SKU-1008"/>
    <s v="Keyboard"/>
    <s v="Electronics"/>
    <n v="4"/>
    <n v="3500"/>
    <n v="0"/>
    <s v="R001"/>
    <s v="Valid"/>
    <n v="14000"/>
    <s v="Missing Data"/>
    <s v="Anita Sharma"/>
    <x v="10"/>
  </r>
  <r>
    <s v="ORD-5091"/>
    <d v="2027-04-04T00:00:00"/>
    <s v="CUST-1031"/>
    <x v="0"/>
    <s v="SKU-1003"/>
    <s v="Office Chair"/>
    <s v="Furniture"/>
    <n v="9"/>
    <n v="12000"/>
    <n v="0"/>
    <s v="R004"/>
    <s v="Valid"/>
    <n v="108000"/>
    <s v="Missing Data"/>
    <s v="Karan Mehta"/>
    <x v="1"/>
  </r>
  <r>
    <s v="ORD-5016"/>
    <d v="2028-02-04T00:00:00"/>
    <s v="CUST-1019"/>
    <x v="2"/>
    <s v="SKU-1006"/>
    <s v="Pen Set"/>
    <s v="Stationery"/>
    <n v="8"/>
    <n v="450"/>
    <n v="0"/>
    <s v="R001"/>
    <s v="Valid"/>
    <n v="3600"/>
    <s v="Missing Data"/>
    <s v="Anita Sharma"/>
    <x v="9"/>
  </r>
  <r>
    <s v="ORD-5177"/>
    <d v="2025-11-21T00:00:00"/>
    <s v="CUST-1012"/>
    <x v="1"/>
    <s v="SKU-1005"/>
    <s v="Notebook"/>
    <s v="Stationery"/>
    <n v="3"/>
    <n v="250"/>
    <n v="0"/>
    <s v="R006"/>
    <s v="Valid"/>
    <n v="750"/>
    <s v="Missing Data"/>
    <s v="Vikram Nair"/>
    <x v="6"/>
  </r>
  <r>
    <s v="ORD-5159"/>
    <d v="2028-04-01T00:00:00"/>
    <s v="CUST-1006"/>
    <x v="1"/>
    <s v="SKU-1006"/>
    <s v="Pen Set"/>
    <s v="Stationery"/>
    <n v="3"/>
    <n v="0"/>
    <n v="0.1"/>
    <s v="R006"/>
    <s v="Valid"/>
    <n v="0"/>
    <s v="Missing Data"/>
    <s v="Vikram Nair"/>
    <x v="1"/>
  </r>
  <r>
    <s v="ORD-5073"/>
    <d v="2026-03-25T00:00:00"/>
    <s v="CUST-1005"/>
    <x v="5"/>
    <s v="SKU-1002"/>
    <s v="Headphones"/>
    <s v="Electronics"/>
    <n v="9"/>
    <n v="4500"/>
    <n v="0.1"/>
    <s v="R005"/>
    <s v="Valid"/>
    <n v="36450"/>
    <s v="OK"/>
    <s v="Sneha Reddy"/>
    <x v="8"/>
  </r>
  <r>
    <s v="ORD-5110"/>
    <d v="2025-12-26T00:00:00"/>
    <s v="CUST-1028"/>
    <x v="5"/>
    <s v="SKU-1006"/>
    <s v="Pen Set"/>
    <s v="Stationery"/>
    <n v="2"/>
    <n v="450"/>
    <n v="0.15"/>
    <s v="R001"/>
    <s v="Valid"/>
    <n v="765"/>
    <s v="OK"/>
    <s v="Anita Sharma"/>
    <x v="0"/>
  </r>
  <r>
    <s v="ORD-5041"/>
    <d v="2025-11-18T00:00:00"/>
    <s v="CUST-1039"/>
    <x v="2"/>
    <s v="SKU-1002"/>
    <s v="Headphones"/>
    <s v="Electronics"/>
    <n v="12"/>
    <n v="4500"/>
    <n v="0.15"/>
    <s v="R004"/>
    <s v="Valid"/>
    <n v="45900"/>
    <s v="OK"/>
    <s v="Karan Mehta"/>
    <x v="6"/>
  </r>
  <r>
    <s v="ORD-5163"/>
    <d v="2028-02-01T00:00:00"/>
    <s v="CUST-1031"/>
    <x v="3"/>
    <s v="SKU-1006"/>
    <s v="Pen Set"/>
    <s v="Stationery"/>
    <n v="9"/>
    <n v="450"/>
    <n v="0.2"/>
    <s v="R005"/>
    <s v="Valid"/>
    <n v="3240"/>
    <s v="OK"/>
    <s v="Sneha Reddy"/>
    <x v="9"/>
  </r>
  <r>
    <s v="ORD-5071"/>
    <d v="2025-11-14T00:00:00"/>
    <s v="CUST-1008"/>
    <x v="3"/>
    <s v="SKU-1002"/>
    <s v="Headphones"/>
    <s v="Electronics"/>
    <n v="1"/>
    <n v="4500"/>
    <n v="0.1"/>
    <s v="R001"/>
    <s v="Valid"/>
    <n v="4050"/>
    <s v="OK"/>
    <s v="Anita Sharma"/>
    <x v="6"/>
  </r>
  <r>
    <s v="ORD-5219"/>
    <d v="2026-01-16T00:00:00"/>
    <s v="CUST-1034"/>
    <x v="3"/>
    <s v="SKU-1009"/>
    <s v="Filing Cabinet"/>
    <s v="Furniture"/>
    <n v="7"/>
    <n v="9500"/>
    <n v="0.15"/>
    <s v="R002"/>
    <s v="Valid"/>
    <n v="56525"/>
    <s v="OK"/>
    <s v="Rahul Verma"/>
    <x v="3"/>
  </r>
  <r>
    <s v="ORD-5192"/>
    <d v="2026-04-26T00:00:00"/>
    <s v="CUST-1038"/>
    <x v="3"/>
    <s v="SKU-1005"/>
    <s v="Notebook"/>
    <s v="Stationery"/>
    <n v="11"/>
    <n v="250"/>
    <n v="0.05"/>
    <s v="R005"/>
    <s v="Valid"/>
    <n v="2612.5"/>
    <s v="OK"/>
    <s v="Sneha Reddy"/>
    <x v="1"/>
  </r>
  <r>
    <s v="ORD-5136"/>
    <d v="2026-04-10T00:00:00"/>
    <s v="CUST-1029"/>
    <x v="1"/>
    <s v="SKU-1010"/>
    <s v="Whiteboard"/>
    <s v="Office Supplies"/>
    <n v="8"/>
    <n v="2200"/>
    <n v="0.25"/>
    <s v="R003"/>
    <s v="Valid"/>
    <n v="13200"/>
    <s v="OK"/>
    <s v="Priya Iyer"/>
    <x v="1"/>
  </r>
  <r>
    <s v="ORD-5001"/>
    <d v="2026-04-01T00:00:00"/>
    <s v="CUST-1002"/>
    <x v="0"/>
    <s v="SKU-1002"/>
    <s v="Headphones"/>
    <s v="Electronics"/>
    <n v="4"/>
    <n v="4500"/>
    <n v="0.25"/>
    <s v="R004"/>
    <s v="Valid"/>
    <n v="13500"/>
    <s v="OK"/>
    <s v="Karan Mehta"/>
    <x v="1"/>
  </r>
  <r>
    <s v="ORD-5155"/>
    <d v="2026-03-21T00:00:00"/>
    <s v="CUST-1007"/>
    <x v="2"/>
    <s v="SKU-1004"/>
    <s v="Standing Desk"/>
    <s v="Furniture"/>
    <n v="5"/>
    <n v="28000"/>
    <n v="0.25"/>
    <s v="R004"/>
    <s v="Valid"/>
    <n v="105000"/>
    <s v="OK"/>
    <s v="Karan Mehta"/>
    <x v="8"/>
  </r>
  <r>
    <s v="ORD-5119"/>
    <d v="2027-04-04T00:00:00"/>
    <s v="CUST-1027"/>
    <x v="3"/>
    <s v="SKU-1004"/>
    <s v="Standing Desk"/>
    <s v="Furniture"/>
    <n v="7"/>
    <n v="28000"/>
    <n v="0.05"/>
    <s v="R003"/>
    <s v="Valid"/>
    <n v="186200"/>
    <s v="OK"/>
    <s v="Priya Iyer"/>
    <x v="1"/>
  </r>
  <r>
    <s v="ORD-5182"/>
    <d v="2026-02-03T00:00:00"/>
    <s v="CUST-1020"/>
    <x v="5"/>
    <s v="SKU-1008"/>
    <s v="Keyboard"/>
    <s v="Electronics"/>
    <n v="2"/>
    <n v="3500"/>
    <n v="0"/>
    <s v="R003"/>
    <s v="Valid"/>
    <n v="7000"/>
    <s v="Missing Data"/>
    <s v="Priya Iyer"/>
    <x v="9"/>
  </r>
  <r>
    <s v="ORD-5086"/>
    <d v="2027-03-04T00:00:00"/>
    <s v="CUST-1031"/>
    <x v="2"/>
    <s v="SKU-1009"/>
    <s v="Filing Cabinet"/>
    <s v="Furniture"/>
    <n v="12"/>
    <n v="9500"/>
    <n v="0.1"/>
    <s v="R004"/>
    <s v="Valid"/>
    <n v="102600"/>
    <s v="OK"/>
    <s v="Karan Mehta"/>
    <x v="8"/>
  </r>
  <r>
    <s v="ORD-5186"/>
    <d v="2025-11-28T00:00:00"/>
    <s v="CUST-1008"/>
    <x v="5"/>
    <s v="SKU-1006"/>
    <s v="Pen Set"/>
    <s v="Stationery"/>
    <n v="7"/>
    <n v="450"/>
    <n v="0.1"/>
    <s v="R003"/>
    <s v="Valid"/>
    <n v="2835"/>
    <s v="OK"/>
    <s v="Priya Iyer"/>
    <x v="6"/>
  </r>
  <r>
    <s v="ORD-5210"/>
    <d v="2025-12-01T00:00:00"/>
    <s v="CUST-1023"/>
    <x v="4"/>
    <s v="SKU-1004"/>
    <s v="Standing Desk"/>
    <s v="Furniture"/>
    <n v="4"/>
    <n v="28000"/>
    <n v="0.25"/>
    <s v="R003"/>
    <s v="Valid"/>
    <n v="84000"/>
    <s v="OK"/>
    <s v="Priya Iyer"/>
    <x v="0"/>
  </r>
  <r>
    <s v="ORD-5215"/>
    <d v="2025-11-06T00:00:00"/>
    <s v="CUST-1016"/>
    <x v="0"/>
    <s v="SKU-1004"/>
    <s v="Standing Desk"/>
    <s v="Furniture"/>
    <n v="10"/>
    <n v="28000"/>
    <n v="0.25"/>
    <s v="R001"/>
    <s v="Valid"/>
    <n v="210000"/>
    <s v="OK"/>
    <s v="Anita Sharma"/>
    <x v="6"/>
  </r>
  <r>
    <s v="ORD-5150"/>
    <d v="2026-03-09T00:00:00"/>
    <s v="CUST-1010"/>
    <x v="5"/>
    <s v="SKU-1010"/>
    <s v="Whiteboard"/>
    <s v="Office Supplies"/>
    <n v="3"/>
    <n v="2200"/>
    <n v="0.15"/>
    <s v="R005"/>
    <s v="Valid"/>
    <n v="5610"/>
    <s v="OK"/>
    <s v="Sneha Reddy"/>
    <x v="8"/>
  </r>
  <r>
    <s v="ORD-5218"/>
    <d v="2025-01-12T00:00:00"/>
    <s v="CUST-1034"/>
    <x v="2"/>
    <s v="SKU-1009"/>
    <s v="Filing Cabinet"/>
    <s v="Furniture"/>
    <n v="3"/>
    <n v="9500"/>
    <n v="0"/>
    <s v="R001"/>
    <s v="Valid"/>
    <n v="28500"/>
    <s v="Missing Data"/>
    <s v="Anita Sharma"/>
    <x v="3"/>
  </r>
  <r>
    <s v="ORD-5087"/>
    <d v="2027-10-03T00:00:00"/>
    <s v="CUST-1024"/>
    <x v="5"/>
    <s v="SKU-1010"/>
    <s v="Whiteboard"/>
    <s v="Office Supplies"/>
    <n v="9"/>
    <n v="2200"/>
    <n v="0"/>
    <s v="R004"/>
    <s v="Valid"/>
    <n v="19800"/>
    <s v="Missing Data"/>
    <s v="Karan Mehta"/>
    <x v="11"/>
  </r>
  <r>
    <s v="ORD-5080"/>
    <d v="2025-12-29T00:00:00"/>
    <s v="CUST-1017"/>
    <x v="1"/>
    <s v="SKU-1001"/>
    <s v="Laptop"/>
    <s v="Electronics"/>
    <n v="3"/>
    <n v="65000"/>
    <n v="0.1"/>
    <s v="R005"/>
    <s v="Valid"/>
    <n v="175500"/>
    <s v="OK"/>
    <s v="Sneha Reddy"/>
    <x v="0"/>
  </r>
  <r>
    <s v="ORD-5148"/>
    <d v="2026-02-21T00:00:00"/>
    <s v="CUST-1026"/>
    <x v="2"/>
    <s v="SKU-1004"/>
    <s v="Standing Desk"/>
    <s v="Furniture"/>
    <n v="8"/>
    <n v="28000"/>
    <n v="0.1"/>
    <s v="R005"/>
    <s v="Valid"/>
    <n v="201600"/>
    <s v="OK"/>
    <s v="Sneha Reddy"/>
    <x v="9"/>
  </r>
  <r>
    <s v="ORD-5123"/>
    <d v="2026-04-03T00:00:00"/>
    <s v="CUST-1006"/>
    <x v="2"/>
    <s v="SKU-1009"/>
    <s v="Filing Cabinet"/>
    <s v="Furniture"/>
    <n v="6"/>
    <n v="9500"/>
    <n v="0"/>
    <s v="R004"/>
    <s v="Valid"/>
    <n v="57000"/>
    <s v="Missing Data"/>
    <s v="Karan Mehta"/>
    <x v="1"/>
  </r>
  <r>
    <s v="ORD-5167"/>
    <d v="2026-04-23T00:00:00"/>
    <s v="CUST-1002"/>
    <x v="0"/>
    <s v="SKU-1002"/>
    <s v="Headphones"/>
    <s v="Electronics"/>
    <n v="4"/>
    <n v="4500"/>
    <n v="0.25"/>
    <s v="R001"/>
    <s v="Valid"/>
    <n v="13500"/>
    <s v="OK"/>
    <s v="Anita Sharma"/>
    <x v="1"/>
  </r>
  <r>
    <s v="ORD-5075"/>
    <d v="2026-10-04T00:00:00"/>
    <s v="CUST-1016"/>
    <x v="0"/>
    <s v="SKU-1003"/>
    <s v="Office Chair"/>
    <s v="Furniture"/>
    <n v="4"/>
    <n v="12000"/>
    <n v="0"/>
    <s v="R004"/>
    <s v="Valid"/>
    <n v="48000"/>
    <s v="Missing Data"/>
    <s v="Karan Mehta"/>
    <x v="11"/>
  </r>
  <r>
    <s v="ORD-5066"/>
    <d v="2027-01-03T00:00:00"/>
    <s v="CUST-1005"/>
    <x v="5"/>
    <s v="SKU-1007"/>
    <s v="Monitor"/>
    <s v="Electronics"/>
    <n v="8"/>
    <n v="18000"/>
    <n v="0.2"/>
    <s v="R004"/>
    <s v="Valid"/>
    <n v="115200"/>
    <s v="OK"/>
    <s v="Karan Mehta"/>
    <x v="3"/>
  </r>
  <r>
    <s v="ORD-5166"/>
    <d v="2025-11-15T00:00:00"/>
    <s v="CUST-1025"/>
    <x v="2"/>
    <s v="SKU-1009"/>
    <s v="Filing Cabinet"/>
    <s v="Furniture"/>
    <n v="12"/>
    <n v="9500"/>
    <n v="0"/>
    <s v="R005"/>
    <s v="Valid"/>
    <n v="114000"/>
    <s v="Missing Data"/>
    <s v="Sneha Reddy"/>
    <x v="6"/>
  </r>
  <r>
    <s v="ORD-5185"/>
    <d v="2026-01-30T00:00:00"/>
    <s v="CUST-1003"/>
    <x v="2"/>
    <s v="SKU-1008"/>
    <s v="Keyboard"/>
    <s v="Electronics"/>
    <n v="10"/>
    <n v="3500"/>
    <n v="0.25"/>
    <s v="R001"/>
    <s v="Valid"/>
    <n v="26250"/>
    <s v="OK"/>
    <s v="Anita Sharma"/>
    <x v="3"/>
  </r>
  <r>
    <s v="ORD-5093"/>
    <d v="2026-04-09T00:00:00"/>
    <s v="CUST-1005"/>
    <x v="2"/>
    <s v="SKU-1009"/>
    <s v="Filing Cabinet"/>
    <s v="Furniture"/>
    <n v="7"/>
    <n v="9500"/>
    <n v="0.2"/>
    <s v="R005"/>
    <s v="Valid"/>
    <n v="53200"/>
    <s v="OK"/>
    <s v="Sneha Reddy"/>
    <x v="1"/>
  </r>
  <r>
    <s v="ORD-5008"/>
    <d v="2027-08-01T00:00:00"/>
    <s v="CUST-1031"/>
    <x v="2"/>
    <s v="SKU-1008"/>
    <s v="Keyboard"/>
    <s v="Electronics"/>
    <n v="3"/>
    <n v="3500"/>
    <n v="0.15"/>
    <s v="R006"/>
    <s v="Valid"/>
    <n v="8925"/>
    <s v="OK"/>
    <s v="Vikram Nair"/>
    <x v="2"/>
  </r>
  <r>
    <s v="ORD-5190"/>
    <d v="2025-12-06T00:00:00"/>
    <s v="CUST-1039"/>
    <x v="2"/>
    <s v="SKU-1003"/>
    <s v="Office Chair"/>
    <s v="Furniture"/>
    <n v="7"/>
    <n v="12000"/>
    <n v="0"/>
    <s v="R003"/>
    <s v="Valid"/>
    <n v="84000"/>
    <s v="Missing Data"/>
    <s v="Priya Iyer"/>
    <x v="0"/>
  </r>
  <r>
    <s v="ORD-5000"/>
    <d v="2026-04-13T00:00:00"/>
    <s v="CUST-1001"/>
    <x v="5"/>
    <s v="SKU-1004"/>
    <s v="Standing Desk"/>
    <s v="Furniture"/>
    <n v="4"/>
    <n v="28000"/>
    <n v="0.25"/>
    <s v="R001"/>
    <s v="Valid"/>
    <n v="84000"/>
    <s v="OK"/>
    <s v="Anita Sharma"/>
    <x v="1"/>
  </r>
  <r>
    <s v="ORD-5006"/>
    <d v="2025-12-24T00:00:00"/>
    <s v="CUST-1004"/>
    <x v="4"/>
    <s v="SKU-1003"/>
    <s v="Office Chair"/>
    <s v="Furniture"/>
    <n v="9"/>
    <n v="12000"/>
    <n v="0.25"/>
    <s v="R002"/>
    <s v="Valid"/>
    <n v="81000"/>
    <s v="OK"/>
    <s v="Rahul Verma"/>
    <x v="0"/>
  </r>
  <r>
    <s v="ORD-5009"/>
    <d v="2026-03-30T00:00:00"/>
    <s v="CUST-1037"/>
    <x v="2"/>
    <s v="SKU-1006"/>
    <s v="Pen Set"/>
    <s v="Stationery"/>
    <n v="4"/>
    <n v="450"/>
    <n v="0.05"/>
    <s v="R001"/>
    <s v="Valid"/>
    <n v="1710"/>
    <s v="OK"/>
    <s v="Anita Sharma"/>
    <x v="8"/>
  </r>
  <r>
    <s v="ORD-5004"/>
    <d v="2026-02-05T00:00:00"/>
    <s v="CUST-1035"/>
    <x v="2"/>
    <s v="SKU-1010"/>
    <s v="Whiteboard"/>
    <s v="Office Supplies"/>
    <n v="6"/>
    <n v="2200"/>
    <n v="0"/>
    <s v="R002"/>
    <s v="Valid"/>
    <n v="13200"/>
    <s v="Missing Data"/>
    <s v="Rahul Verma"/>
    <x v="9"/>
  </r>
  <r>
    <s v="ORD-5067"/>
    <d v="2025-11-05T00:00:00"/>
    <s v="CUST-1018"/>
    <x v="5"/>
    <s v="SKU-1007"/>
    <s v="Monitor"/>
    <s v="Electronics"/>
    <n v="12"/>
    <n v="18000"/>
    <n v="0.25"/>
    <s v="R005"/>
    <s v="Valid"/>
    <n v="162000"/>
    <s v="OK"/>
    <s v="Sneha Reddy"/>
    <x v="6"/>
  </r>
  <r>
    <s v="ORD-5007"/>
    <d v="2026-04-25T00:00:00"/>
    <s v="CUST-1003"/>
    <x v="5"/>
    <s v="SKU-1001"/>
    <s v="Laptop"/>
    <s v="Electronics"/>
    <n v="6"/>
    <n v="65000"/>
    <n v="0.25"/>
    <s v="R006"/>
    <s v="Valid"/>
    <n v="292500"/>
    <s v="OK"/>
    <s v="Vikram Nair"/>
    <x v="1"/>
  </r>
  <r>
    <s v="ORD-5139"/>
    <d v="2026-04-07T00:00:00"/>
    <s v="CUST-1029"/>
    <x v="1"/>
    <s v="SKU-1009"/>
    <s v="Filing Cabinet"/>
    <s v="Furniture"/>
    <n v="12"/>
    <n v="9500"/>
    <n v="0.1"/>
    <s v="R003"/>
    <s v="Valid"/>
    <n v="102600"/>
    <s v="OK"/>
    <s v="Priya Iyer"/>
    <x v="1"/>
  </r>
  <r>
    <s v="ORD-5195"/>
    <d v="2026-04-11T00:00:00"/>
    <s v="CUST-1033"/>
    <x v="5"/>
    <s v="SKU-1009"/>
    <s v="Filing Cabinet"/>
    <s v="Furniture"/>
    <n v="6"/>
    <n v="9500"/>
    <n v="0.1"/>
    <s v="R004"/>
    <s v="Valid"/>
    <n v="51300"/>
    <s v="OK"/>
    <s v="Karan Mehta"/>
    <x v="1"/>
  </r>
  <r>
    <s v="ORD-5078"/>
    <d v="2025-12-13T00:00:00"/>
    <s v="CUST-1038"/>
    <x v="1"/>
    <s v="SKU-1005"/>
    <s v="Notebook"/>
    <s v="Stationery"/>
    <n v="8"/>
    <n v="250"/>
    <n v="0.15"/>
    <s v="R005"/>
    <s v="Valid"/>
    <n v="1700"/>
    <s v="OK"/>
    <s v="Sneha Reddy"/>
    <x v="0"/>
  </r>
  <r>
    <s v="ORD-5069"/>
    <d v="2025-12-20T00:00:00"/>
    <s v="CUST-1007"/>
    <x v="1"/>
    <s v="SKU-1003"/>
    <s v="Office Chair"/>
    <s v="Furniture"/>
    <n v="4"/>
    <n v="12000"/>
    <n v="0.25"/>
    <s v="R005"/>
    <s v="Valid"/>
    <n v="36000"/>
    <s v="OK"/>
    <s v="Sneha Reddy"/>
    <x v="0"/>
  </r>
  <r>
    <s v="ORD-5017"/>
    <d v="2026-01-26T00:00:00"/>
    <s v="CUST-1037"/>
    <x v="1"/>
    <s v="SKU-1004"/>
    <s v="Standing Desk"/>
    <s v="Furniture"/>
    <n v="10"/>
    <n v="28000"/>
    <n v="0.1"/>
    <s v="R001"/>
    <s v="Valid"/>
    <n v="252000"/>
    <s v="OK"/>
    <s v="Anita Sharma"/>
    <x v="3"/>
  </r>
  <r>
    <s v="ORD-5203"/>
    <d v="2025-12-16T00:00:00"/>
    <s v="CUST-1025"/>
    <x v="3"/>
    <s v="SKU-1003"/>
    <s v="Office Chair"/>
    <s v="Furniture"/>
    <n v="12"/>
    <n v="12000"/>
    <n v="0.05"/>
    <s v="R003"/>
    <s v="Valid"/>
    <n v="136800"/>
    <s v="OK"/>
    <s v="Priya Iyer"/>
    <x v="0"/>
  </r>
  <r>
    <s v="ORD-5202"/>
    <d v="2026-01-22T00:00:00"/>
    <s v="CUST-1003"/>
    <x v="0"/>
    <s v="SKU-1010"/>
    <s v="Whiteboard"/>
    <s v="Office Supplies"/>
    <n v="4"/>
    <n v="2200"/>
    <n v="0.1"/>
    <s v="R004"/>
    <s v="Valid"/>
    <n v="7920"/>
    <s v="OK"/>
    <s v="Karan Mehta"/>
    <x v="3"/>
  </r>
  <r>
    <s v="ORD-5021"/>
    <d v="2026-01-11T00:00:00"/>
    <s v="CUST-1015"/>
    <x v="0"/>
    <s v="SKU-1008"/>
    <s v="Keyboard"/>
    <s v="Electronics"/>
    <n v="9"/>
    <n v="3500"/>
    <n v="0.05"/>
    <s v="R001"/>
    <s v="Valid"/>
    <n v="29925"/>
    <s v="OK"/>
    <s v="Anita Sharma"/>
    <x v="3"/>
  </r>
  <r>
    <s v="ORD-5058"/>
    <d v="2026-03-01T00:00:00"/>
    <s v="CUST-1001"/>
    <x v="4"/>
    <s v="SKU-1003"/>
    <s v="Office Chair"/>
    <s v="Furniture"/>
    <n v="4"/>
    <n v="12000"/>
    <n v="0.1"/>
    <s v="R004"/>
    <s v="Valid"/>
    <n v="43200"/>
    <s v="OK"/>
    <s v="Karan Mehta"/>
    <x v="8"/>
  </r>
  <r>
    <s v="ORD-5079"/>
    <d v="2026-03-19T00:00:00"/>
    <s v="CUST-1028"/>
    <x v="0"/>
    <s v="SKU-1010"/>
    <s v="Whiteboard"/>
    <s v="Office Supplies"/>
    <n v="1"/>
    <n v="2200"/>
    <n v="0.05"/>
    <s v="R001"/>
    <s v="Valid"/>
    <n v="2090"/>
    <s v="OK"/>
    <s v="Anita Sharma"/>
    <x v="8"/>
  </r>
  <r>
    <s v="ORD-5132"/>
    <d v="2026-02-18T00:00:00"/>
    <s v="CUST-1026"/>
    <x v="2"/>
    <s v="SKU-1002"/>
    <s v="Headphones"/>
    <s v="Electronics"/>
    <n v="7"/>
    <n v="0"/>
    <n v="0.25"/>
    <s v="R004"/>
    <s v="Valid"/>
    <n v="0"/>
    <s v="Missing Data"/>
    <s v="Karan Mehta"/>
    <x v="9"/>
  </r>
  <r>
    <s v="ORD-5032"/>
    <d v="2026-01-10T00:00:00"/>
    <s v="CUST-1000"/>
    <x v="2"/>
    <s v="SKU-1003"/>
    <s v="Office Chair"/>
    <s v="Furniture"/>
    <n v="11"/>
    <n v="12000"/>
    <n v="0.2"/>
    <s v="R005"/>
    <s v="Valid"/>
    <n v="105600"/>
    <s v="OK"/>
    <s v="Sneha Reddy"/>
    <x v="3"/>
  </r>
  <r>
    <s v="ORD-5043"/>
    <d v="2026-03-26T00:00:00"/>
    <s v="CUST-1025"/>
    <x v="1"/>
    <s v="SKU-1001"/>
    <s v="Laptop"/>
    <s v="Electronics"/>
    <n v="5"/>
    <n v="65000"/>
    <n v="0.15"/>
    <s v="R004"/>
    <s v="Valid"/>
    <n v="276250"/>
    <s v="OK"/>
    <s v="Karan Mehta"/>
    <x v="8"/>
  </r>
  <r>
    <s v="ORD-5146"/>
    <d v="2027-04-12T00:00:00"/>
    <s v="CUST-1009"/>
    <x v="0"/>
    <s v="SKU-1005"/>
    <s v="Notebook"/>
    <s v="Stationery"/>
    <n v="2"/>
    <n v="250"/>
    <n v="0.25"/>
    <s v="R001"/>
    <s v="Valid"/>
    <n v="375"/>
    <s v="OK"/>
    <s v="Anita Sharma"/>
    <x v="1"/>
  </r>
  <r>
    <s v="ORD-5116"/>
    <d v="2026-04-18T00:00:00"/>
    <s v="CUST-1029"/>
    <x v="0"/>
    <s v="SKU-1001"/>
    <s v="Laptop"/>
    <s v="Electronics"/>
    <n v="8"/>
    <n v="65000"/>
    <n v="0"/>
    <s v="R006"/>
    <s v="Valid"/>
    <n v="520000"/>
    <s v="Missing Data"/>
    <s v="Vikram Nair"/>
    <x v="1"/>
  </r>
  <r>
    <s v="ORD-5031"/>
    <d v="2028-03-01T00:00:00"/>
    <s v="CUST-1016"/>
    <x v="1"/>
    <s v="SKU-1008"/>
    <s v="Keyboard"/>
    <s v="Electronics"/>
    <n v="5"/>
    <n v="3500"/>
    <n v="0"/>
    <s v="R004"/>
    <s v="Valid"/>
    <n v="17500"/>
    <s v="Missing Data"/>
    <s v="Karan Mehta"/>
    <x v="8"/>
  </r>
  <r>
    <s v="ORD-5113"/>
    <d v="2025-12-08T00:00:00"/>
    <s v="CUST-1017"/>
    <x v="0"/>
    <s v="SKU-1003"/>
    <s v="Office Chair"/>
    <s v="Furniture"/>
    <n v="9"/>
    <n v="12000"/>
    <n v="0.05"/>
    <s v="R002"/>
    <s v="Valid"/>
    <n v="102600"/>
    <s v="OK"/>
    <s v="Rahul Verma"/>
    <x v="0"/>
  </r>
  <r>
    <s v="ORD-5194"/>
    <d v="2025-11-05T00:00:00"/>
    <s v="CUST-1020"/>
    <x v="3"/>
    <s v="SKU-1003"/>
    <s v="Office Chair"/>
    <s v="Furniture"/>
    <n v="7"/>
    <n v="12000"/>
    <n v="0.2"/>
    <s v="R006"/>
    <s v="Valid"/>
    <n v="67200"/>
    <s v="OK"/>
    <s v="Vikram Nair"/>
    <x v="6"/>
  </r>
  <r>
    <s v="ORD-5029"/>
    <d v="2026-12-01T00:00:00"/>
    <s v="CUST-1028"/>
    <x v="1"/>
    <s v="SKU-1005"/>
    <s v="Notebook"/>
    <s v="Stationery"/>
    <n v="10"/>
    <n v="250"/>
    <n v="0.25"/>
    <s v="R003"/>
    <s v="Valid"/>
    <n v="1875"/>
    <s v="OK"/>
    <s v="Priya Iyer"/>
    <x v="0"/>
  </r>
  <r>
    <s v="ORD-5042"/>
    <d v="2026-04-28T00:00:00"/>
    <s v="CUST-1035"/>
    <x v="0"/>
    <s v="SKU-1004"/>
    <s v="Standing Desk"/>
    <s v="Furniture"/>
    <n v="7"/>
    <n v="28000"/>
    <n v="0.1"/>
    <s v="R005"/>
    <s v="Valid"/>
    <n v="176400"/>
    <s v="OK"/>
    <s v="Sneha Reddy"/>
    <x v="1"/>
  </r>
  <r>
    <s v="ORD-5025"/>
    <d v="2026-03-03T00:00:00"/>
    <s v="CUST-1003"/>
    <x v="1"/>
    <s v="SKU-1002"/>
    <s v="Headphones"/>
    <s v="Electronics"/>
    <n v="3"/>
    <n v="4500"/>
    <n v="0.2"/>
    <s v="R001"/>
    <s v="Valid"/>
    <n v="10800"/>
    <s v="OK"/>
    <s v="Anita Sharma"/>
    <x v="8"/>
  </r>
  <r>
    <s v="ORD-5019"/>
    <d v="2026-03-28T00:00:00"/>
    <s v="CUST-1015"/>
    <x v="3"/>
    <s v="SKU-1007"/>
    <s v="Monitor"/>
    <s v="Electronics"/>
    <n v="4"/>
    <n v="18000"/>
    <n v="0.2"/>
    <s v="R004"/>
    <s v="Valid"/>
    <n v="57600"/>
    <s v="OK"/>
    <s v="Karan Mehta"/>
    <x v="8"/>
  </r>
  <r>
    <s v="ORD-5037"/>
    <d v="2026-01-29T00:00:00"/>
    <s v="CUST-1014"/>
    <x v="5"/>
    <s v="SKU-1001"/>
    <s v="Laptop"/>
    <s v="Electronics"/>
    <n v="11"/>
    <n v="65000"/>
    <n v="0.15"/>
    <s v="R003"/>
    <s v="Valid"/>
    <n v="607750"/>
    <s v="OK"/>
    <s v="Priya Iyer"/>
    <x v="3"/>
  </r>
  <r>
    <s v="ORD-5140"/>
    <d v="2026-04-04T00:00:00"/>
    <s v="CUST-1032"/>
    <x v="0"/>
    <s v="SKU-1001"/>
    <s v="Laptop"/>
    <s v="Electronics"/>
    <n v="8"/>
    <n v="65000"/>
    <n v="0.05"/>
    <s v="R005"/>
    <s v="Valid"/>
    <n v="494000"/>
    <s v="OK"/>
    <s v="Sneha Reddy"/>
    <x v="1"/>
  </r>
  <r>
    <s v="ORD-5117"/>
    <d v="2026-02-22T00:00:00"/>
    <s v="CUST-1005"/>
    <x v="2"/>
    <s v="SKU-1010"/>
    <s v="Whiteboard"/>
    <s v="Office Supplies"/>
    <n v="3"/>
    <n v="2200"/>
    <n v="0.25"/>
    <s v="R006"/>
    <s v="Valid"/>
    <n v="4950"/>
    <s v="OK"/>
    <s v="Vikram Nair"/>
    <x v="9"/>
  </r>
  <r>
    <s v="ORD-5095"/>
    <d v="2025-12-13T00:00:00"/>
    <s v="CUST-1001"/>
    <x v="0"/>
    <s v="SKU-1006"/>
    <s v="Pen Set"/>
    <s v="Stationery"/>
    <n v="1"/>
    <n v="450"/>
    <n v="0"/>
    <s v="R005"/>
    <s v="Valid"/>
    <n v="450"/>
    <s v="Missing Data"/>
    <s v="Sneha Reddy"/>
    <x v="0"/>
  </r>
  <r>
    <s v="ORD-5217"/>
    <d v="2026-02-06T00:00:00"/>
    <s v="CUST-1024"/>
    <x v="2"/>
    <s v="SKU-1002"/>
    <s v="Headphones"/>
    <s v="Electronics"/>
    <n v="11"/>
    <n v="4500"/>
    <n v="0"/>
    <s v="R003"/>
    <s v="Valid"/>
    <n v="49500"/>
    <s v="Missing Data"/>
    <s v="Priya Iyer"/>
    <x v="9"/>
  </r>
  <r>
    <s v="ORD-5028"/>
    <d v="2026-02-26T00:00:00"/>
    <s v="CUST-1004"/>
    <x v="1"/>
    <s v="SKU-1004"/>
    <s v="Standing Desk"/>
    <s v="Furniture"/>
    <n v="9"/>
    <n v="28000"/>
    <n v="0.1"/>
    <s v="R003"/>
    <s v="Valid"/>
    <n v="226800"/>
    <s v="OK"/>
    <s v="Priya Iyer"/>
    <x v="9"/>
  </r>
  <r>
    <s v="ORD-5120"/>
    <d v="2026-02-18T00:00:00"/>
    <s v="CUST-1016"/>
    <x v="2"/>
    <s v="SKU-1003"/>
    <s v="Office Chair"/>
    <s v="Furniture"/>
    <n v="11"/>
    <n v="12000"/>
    <n v="0.05"/>
    <s v="R004"/>
    <s v="Valid"/>
    <n v="125400"/>
    <s v="OK"/>
    <s v="Karan Mehta"/>
    <x v="9"/>
  </r>
  <r>
    <s v="ORD-5002"/>
    <d v="2025-12-27T00:00:00"/>
    <s v="CUST-1037"/>
    <x v="5"/>
    <s v="SKU-1001"/>
    <s v="Laptop"/>
    <s v="Electronics"/>
    <n v="3"/>
    <n v="65000"/>
    <n v="0"/>
    <s v="R003"/>
    <s v="Valid"/>
    <n v="195000"/>
    <s v="Missing Data"/>
    <s v="Priya Iyer"/>
    <x v="0"/>
  </r>
  <r>
    <s v="ORD-5144"/>
    <d v="2026-04-02T00:00:00"/>
    <s v="CUST-1019"/>
    <x v="1"/>
    <s v="SKU-1007"/>
    <s v="Monitor"/>
    <s v="Electronics"/>
    <n v="11"/>
    <n v="18000"/>
    <n v="0.25"/>
    <s v="R001"/>
    <s v="Valid"/>
    <n v="148500"/>
    <s v="OK"/>
    <s v="Anita Sharma"/>
    <x v="1"/>
  </r>
  <r>
    <s v="ORD-5152"/>
    <d v="2026-02-24T00:00:00"/>
    <s v="CUST-1001"/>
    <x v="3"/>
    <s v="SKU-1001"/>
    <s v="Laptop"/>
    <s v="Electronics"/>
    <n v="7"/>
    <n v="65000"/>
    <n v="0.15"/>
    <s v="R002"/>
    <s v="Valid"/>
    <n v="386750"/>
    <s v="OK"/>
    <s v="Rahul Verma"/>
    <x v="9"/>
  </r>
  <r>
    <s v="ORD-5028"/>
    <d v="2026-02-26T00:00:00"/>
    <s v="CUST-1004"/>
    <x v="1"/>
    <s v="SKU-1004"/>
    <s v="Standing Desk"/>
    <s v="Furniture"/>
    <n v="9"/>
    <n v="28000"/>
    <n v="0.1"/>
    <s v="R003"/>
    <s v="Duplicate"/>
    <n v="226800"/>
    <s v="Duplicate"/>
    <s v="Priya Iyer"/>
    <x v="9"/>
  </r>
  <r>
    <s v="ORD-5127"/>
    <d v="2025-11-22T00:00:00"/>
    <s v="CUST-1009"/>
    <x v="5"/>
    <s v="SKU-1010"/>
    <s v="Whiteboard"/>
    <s v="Office Supplies"/>
    <n v="1"/>
    <n v="2200"/>
    <n v="0.2"/>
    <s v="R005"/>
    <s v="Valid"/>
    <n v="1760"/>
    <s v="OK"/>
    <s v="Sneha Reddy"/>
    <x v="6"/>
  </r>
  <r>
    <s v="ORD-5005"/>
    <d v="2026-01-14T00:00:00"/>
    <s v="CUST-1014"/>
    <x v="0"/>
    <s v="SKU-1007"/>
    <s v="Monitor"/>
    <s v="Electronics"/>
    <n v="5"/>
    <n v="18000"/>
    <n v="0"/>
    <s v="R003"/>
    <s v="Valid"/>
    <n v="90000"/>
    <s v="Missing Data"/>
    <s v="Priya Iyer"/>
    <x v="3"/>
  </r>
  <r>
    <s v="ORD-5131"/>
    <d v="2026-03-24T00:00:00"/>
    <s v="CUST-1004"/>
    <x v="2"/>
    <s v="SKU-1001"/>
    <s v="Laptop"/>
    <s v="Electronics"/>
    <n v="7"/>
    <n v="0"/>
    <n v="0.15"/>
    <s v="R005"/>
    <s v="Valid"/>
    <n v="0"/>
    <s v="Missing Data"/>
    <s v="Sneha Reddy"/>
    <x v="8"/>
  </r>
  <r>
    <s v="ORD-5108"/>
    <d v="2027-01-11T00:00:00"/>
    <s v="CUST-1034"/>
    <x v="0"/>
    <s v="SKU-1007"/>
    <s v="Monitor"/>
    <s v="Electronics"/>
    <n v="8"/>
    <n v="18000"/>
    <n v="0.25"/>
    <s v="R004"/>
    <s v="Valid"/>
    <n v="108000"/>
    <s v="OK"/>
    <s v="Karan Mehta"/>
    <x v="3"/>
  </r>
  <r>
    <s v="ORD-5174"/>
    <d v="2026-01-19T00:00:00"/>
    <s v="CUST-1030"/>
    <x v="1"/>
    <s v="SKU-1007"/>
    <s v="Monitor"/>
    <s v="Electronics"/>
    <n v="7"/>
    <n v="18000"/>
    <n v="0.05"/>
    <s v="R004"/>
    <s v="Valid"/>
    <n v="119700"/>
    <s v="OK"/>
    <s v="Karan Mehta"/>
    <x v="3"/>
  </r>
  <r>
    <s v="ORD-5026"/>
    <d v="2028-02-03T00:00:00"/>
    <s v="CUST-1037"/>
    <x v="4"/>
    <s v="SKU-1001"/>
    <s v="Laptop"/>
    <s v="Electronics"/>
    <n v="10"/>
    <n v="65000"/>
    <n v="0.15"/>
    <s v="R003"/>
    <s v="Valid"/>
    <n v="552500"/>
    <s v="OK"/>
    <s v="Priya Iyer"/>
    <x v="9"/>
  </r>
  <r>
    <s v="ORD-5040"/>
    <d v="2025-11-12T00:00:00"/>
    <s v="CUST-1000"/>
    <x v="1"/>
    <s v="SKU-1009"/>
    <s v="Filing Cabinet"/>
    <s v="Furniture"/>
    <n v="11"/>
    <n v="9500"/>
    <n v="0.15"/>
    <s v="R004"/>
    <s v="Valid"/>
    <n v="88825"/>
    <s v="OK"/>
    <s v="Karan Mehta"/>
    <x v="6"/>
  </r>
  <r>
    <s v="ORD-5107"/>
    <d v="2026-04-15T00:00:00"/>
    <s v="CUST-1029"/>
    <x v="2"/>
    <s v="SKU-1007"/>
    <s v="Monitor"/>
    <s v="Electronics"/>
    <n v="2"/>
    <n v="18000"/>
    <n v="0.2"/>
    <s v="R001"/>
    <s v="Valid"/>
    <n v="28800"/>
    <s v="OK"/>
    <s v="Anita Sharma"/>
    <x v="1"/>
  </r>
  <r>
    <s v="ORD-5183"/>
    <d v="2026-02-07T00:00:00"/>
    <s v="CUST-1015"/>
    <x v="5"/>
    <s v="SKU-1006"/>
    <s v="Pen Set"/>
    <s v="Stationery"/>
    <n v="10"/>
    <n v="450"/>
    <n v="0"/>
    <s v="R005"/>
    <s v="Valid"/>
    <n v="4500"/>
    <s v="Missing Data"/>
    <s v="Sneha Reddy"/>
    <x v="9"/>
  </r>
  <r>
    <s v="ORD-5206"/>
    <d v="2026-01-26T00:00:00"/>
    <s v="CUST-1036"/>
    <x v="5"/>
    <s v="SKU-1003"/>
    <s v="Office Chair"/>
    <s v="Furniture"/>
    <n v="10"/>
    <n v="12000"/>
    <n v="0.25"/>
    <s v="R003"/>
    <s v="Valid"/>
    <n v="90000"/>
    <s v="OK"/>
    <s v="Priya Iyer"/>
    <x v="3"/>
  </r>
  <r>
    <s v="ORD-5092"/>
    <d v="2025-11-26T00:00:00"/>
    <s v="CUST-1000"/>
    <x v="0"/>
    <s v="SKU-1007"/>
    <s v="Monitor"/>
    <s v="Electronics"/>
    <n v="11"/>
    <n v="18000"/>
    <n v="0.15"/>
    <s v="R003"/>
    <s v="Valid"/>
    <n v="168300"/>
    <s v="OK"/>
    <s v="Priya Iyer"/>
    <x v="6"/>
  </r>
  <r>
    <s v="ORD-5196"/>
    <d v="2026-03-03T00:00:00"/>
    <s v="CUST-1034"/>
    <x v="2"/>
    <s v="SKU-1005"/>
    <s v="Notebook"/>
    <s v="Stationery"/>
    <n v="10"/>
    <n v="250"/>
    <n v="0"/>
    <s v="R003"/>
    <s v="Valid"/>
    <n v="2500"/>
    <s v="Missing Data"/>
    <s v="Priya Iyer"/>
    <x v="8"/>
  </r>
  <r>
    <s v="ORD-5214"/>
    <d v="2025-11-15T00:00:00"/>
    <s v="CUST-1008"/>
    <x v="1"/>
    <s v="SKU-1007"/>
    <s v="Monitor"/>
    <s v="Electronics"/>
    <n v="8"/>
    <n v="18000"/>
    <n v="0.15"/>
    <s v="R006"/>
    <s v="Valid"/>
    <n v="122400"/>
    <s v="OK"/>
    <s v="Vikram Nair"/>
    <x v="6"/>
  </r>
  <r>
    <s v="ORD-5125"/>
    <d v="2026-05-12T00:00:00"/>
    <s v="CUST-1036"/>
    <x v="2"/>
    <s v="SKU-1002"/>
    <s v="Headphones"/>
    <s v="Electronics"/>
    <n v="3"/>
    <n v="4500"/>
    <n v="0"/>
    <s v="R005"/>
    <s v="Valid"/>
    <n v="13500"/>
    <s v="Missing Data"/>
    <s v="Sneha Reddy"/>
    <x v="5"/>
  </r>
  <r>
    <s v="ORD-5063"/>
    <d v="2025-12-16T00:00:00"/>
    <s v="CUST-1039"/>
    <x v="1"/>
    <s v="SKU-1008"/>
    <s v="Keyboard"/>
    <s v="Electronics"/>
    <n v="8"/>
    <n v="3500"/>
    <n v="0"/>
    <s v="R002"/>
    <s v="Valid"/>
    <n v="28000"/>
    <s v="Missing Data"/>
    <s v="Rahul Verma"/>
    <x v="0"/>
  </r>
  <r>
    <s v="ORD-5157"/>
    <d v="2025-11-01T00:00:00"/>
    <s v="CUST-1015"/>
    <x v="1"/>
    <s v="SKU-1007"/>
    <s v="Monitor"/>
    <s v="Electronics"/>
    <n v="3"/>
    <n v="18000"/>
    <n v="0.05"/>
    <s v="R005"/>
    <s v="Valid"/>
    <n v="51300"/>
    <s v="OK"/>
    <s v="Sneha Reddy"/>
    <x v="6"/>
  </r>
  <r>
    <s v="ORD-5157"/>
    <d v="2025-11-01T00:00:00"/>
    <s v="CUST-1015"/>
    <x v="1"/>
    <s v="SKU-1007"/>
    <s v="Monitor"/>
    <s v="Electronics"/>
    <n v="3"/>
    <n v="18000"/>
    <n v="0.05"/>
    <s v="R005"/>
    <s v="Duplicate"/>
    <n v="51300"/>
    <s v="Duplicate"/>
    <s v="Sneha Reddy"/>
    <x v="6"/>
  </r>
  <r>
    <s v="ORD-5046"/>
    <d v="2026-04-06T00:00:00"/>
    <s v="CUST-1029"/>
    <x v="3"/>
    <s v="SKU-1010"/>
    <s v="Whiteboard"/>
    <s v="Office Supplies"/>
    <n v="4"/>
    <n v="2200"/>
    <n v="0.1"/>
    <s v="R006"/>
    <s v="Valid"/>
    <n v="7920"/>
    <s v="OK"/>
    <s v="Vikram Nair"/>
    <x v="1"/>
  </r>
  <r>
    <s v="ORD-5033"/>
    <d v="2025-11-03T00:00:00"/>
    <s v="CUST-1004"/>
    <x v="0"/>
    <s v="SKU-1009"/>
    <s v="Filing Cabinet"/>
    <s v="Furniture"/>
    <n v="1"/>
    <n v="9500"/>
    <n v="0"/>
    <s v="R002"/>
    <s v="Valid"/>
    <n v="9500"/>
    <s v="Missing Data"/>
    <s v="Rahul Verma"/>
    <x v="6"/>
  </r>
  <r>
    <s v="ORD-5039"/>
    <d v="2025-11-28T00:00:00"/>
    <s v="CUST-1022"/>
    <x v="2"/>
    <s v="SKU-1007"/>
    <s v="Monitor"/>
    <s v="Electronics"/>
    <n v="10"/>
    <n v="18000"/>
    <n v="0.1"/>
    <s v="R003"/>
    <s v="Valid"/>
    <n v="162000"/>
    <s v="OK"/>
    <s v="Priya Iyer"/>
    <x v="6"/>
  </r>
  <r>
    <s v="ORD-5045"/>
    <d v="2026-12-11T00:00:00"/>
    <s v="CUST-1019"/>
    <x v="5"/>
    <s v="SKU-1004"/>
    <s v="Standing Desk"/>
    <s v="Furniture"/>
    <n v="3"/>
    <n v="0"/>
    <n v="0"/>
    <s v="R004"/>
    <s v="Valid"/>
    <n v="0"/>
    <s v="Missing Data"/>
    <s v="Karan Mehta"/>
    <x v="0"/>
  </r>
  <r>
    <s v="ORD-5083"/>
    <d v="2025-11-01T00:00:00"/>
    <s v="CUST-1026"/>
    <x v="0"/>
    <s v="SKU-1004"/>
    <s v="Standing Desk"/>
    <s v="Furniture"/>
    <n v="9"/>
    <n v="28000"/>
    <n v="0.05"/>
    <s v="R002"/>
    <s v="Valid"/>
    <n v="239400"/>
    <s v="OK"/>
    <s v="Rahul Verma"/>
    <x v="6"/>
  </r>
  <r>
    <s v="ORD-5211"/>
    <d v="2026-02-15T00:00:00"/>
    <s v="CUST-1034"/>
    <x v="5"/>
    <s v="SKU-1004"/>
    <s v="Standing Desk"/>
    <s v="Furniture"/>
    <n v="11"/>
    <n v="28000"/>
    <n v="0"/>
    <s v="R004"/>
    <s v="Valid"/>
    <n v="308000"/>
    <s v="Missing Data"/>
    <s v="Karan Mehta"/>
    <x v="9"/>
  </r>
  <r>
    <s v="ORD-5216"/>
    <d v="2025-11-18T00:00:00"/>
    <s v="CUST-1002"/>
    <x v="2"/>
    <s v="SKU-1007"/>
    <s v="Monitor"/>
    <s v="Electronics"/>
    <n v="3"/>
    <n v="18000"/>
    <n v="0.2"/>
    <s v="R003"/>
    <s v="Valid"/>
    <n v="43200"/>
    <s v="OK"/>
    <s v="Priya Iyer"/>
    <x v="6"/>
  </r>
  <r>
    <s v="ORD-5161"/>
    <d v="2025-12-22T00:00:00"/>
    <s v="CUST-1020"/>
    <x v="2"/>
    <s v="SKU-1009"/>
    <s v="Filing Cabinet"/>
    <s v="Furniture"/>
    <n v="7"/>
    <n v="9500"/>
    <n v="0"/>
    <s v="R006"/>
    <s v="Valid"/>
    <n v="66500"/>
    <s v="Missing Data"/>
    <s v="Vikram Nair"/>
    <x v="0"/>
  </r>
  <r>
    <s v="ORD-5072"/>
    <d v="2026-01-04T00:00:00"/>
    <s v="CUST-1007"/>
    <x v="0"/>
    <s v="SKU-1007"/>
    <s v="Monitor"/>
    <s v="Electronics"/>
    <n v="8"/>
    <n v="18000"/>
    <n v="0"/>
    <s v="R002"/>
    <s v="Valid"/>
    <n v="144000"/>
    <s v="Missing Data"/>
    <s v="Rahul Verma"/>
    <x v="3"/>
  </r>
  <r>
    <s v="ORD-5207"/>
    <d v="2025-11-23T00:00:00"/>
    <s v="CUST-1006"/>
    <x v="5"/>
    <s v="SKU-1003"/>
    <s v="Office Chair"/>
    <s v="Furniture"/>
    <n v="8"/>
    <n v="12000"/>
    <n v="0"/>
    <s v="R002"/>
    <s v="Valid"/>
    <n v="96000"/>
    <s v="Missing Data"/>
    <s v="Rahul Verma"/>
    <x v="6"/>
  </r>
  <r>
    <s v="ORD-5184"/>
    <d v="2026-02-28T00:00:00"/>
    <s v="CUST-1019"/>
    <x v="3"/>
    <s v="SKU-1001"/>
    <s v="Laptop"/>
    <s v="Electronics"/>
    <n v="2"/>
    <n v="65000"/>
    <n v="0.1"/>
    <s v="R005"/>
    <s v="Valid"/>
    <n v="117000"/>
    <s v="OK"/>
    <s v="Sneha Reddy"/>
    <x v="9"/>
  </r>
  <r>
    <s v="ORD-5101"/>
    <d v="2025-12-29T00:00:00"/>
    <s v="CUST-1014"/>
    <x v="5"/>
    <s v="SKU-1010"/>
    <s v="Whiteboard"/>
    <s v="Office Supplies"/>
    <n v="5"/>
    <n v="2200"/>
    <n v="0.1"/>
    <s v="R006"/>
    <s v="Valid"/>
    <n v="9900"/>
    <s v="OK"/>
    <s v="Vikram Nair"/>
    <x v="0"/>
  </r>
  <r>
    <s v="ORD-5156"/>
    <d v="2025-11-17T00:00:00"/>
    <s v="CUST-1031"/>
    <x v="4"/>
    <s v="SKU-1009"/>
    <s v="Filing Cabinet"/>
    <s v="Furniture"/>
    <n v="1"/>
    <n v="9500"/>
    <n v="0.15"/>
    <s v="R004"/>
    <s v="Valid"/>
    <n v="8075"/>
    <s v="OK"/>
    <s v="Karan Mehta"/>
    <x v="6"/>
  </r>
  <r>
    <s v="ORD-5158"/>
    <d v="2026-03-20T00:00:00"/>
    <s v="CUST-1024"/>
    <x v="3"/>
    <s v="SKU-1001"/>
    <s v="Laptop"/>
    <s v="Electronics"/>
    <n v="11"/>
    <n v="65000"/>
    <n v="0.15"/>
    <s v="R001"/>
    <s v="Valid"/>
    <n v="607750"/>
    <s v="OK"/>
    <s v="Anita Sharma"/>
    <x v="8"/>
  </r>
  <r>
    <s v="ORD-5141"/>
    <d v="2027-03-04T00:00:00"/>
    <s v="CUST-1002"/>
    <x v="5"/>
    <s v="SKU-1008"/>
    <s v="Keyboard"/>
    <s v="Electronics"/>
    <n v="8"/>
    <n v="3500"/>
    <n v="0.15"/>
    <s v="R004"/>
    <s v="Valid"/>
    <n v="23800"/>
    <s v="OK"/>
    <s v="Karan Mehta"/>
    <x v="8"/>
  </r>
  <r>
    <s v="ORD-5030"/>
    <d v="2026-04-19T00:00:00"/>
    <s v="CUST-1008"/>
    <x v="5"/>
    <s v="SKU-1002"/>
    <s v="Headphones"/>
    <s v="Electronics"/>
    <n v="2"/>
    <n v="4500"/>
    <n v="0"/>
    <s v="R002"/>
    <s v="Valid"/>
    <n v="9000"/>
    <s v="Missing Data"/>
    <s v="Rahul Verma"/>
    <x v="1"/>
  </r>
  <r>
    <s v="ORD-5165"/>
    <d v="2026-04-26T00:00:00"/>
    <s v="CUST-1022"/>
    <x v="3"/>
    <s v="SKU-1001"/>
    <s v="Laptop"/>
    <s v="Electronics"/>
    <n v="12"/>
    <n v="65000"/>
    <n v="0.15"/>
    <s v="R006"/>
    <s v="Valid"/>
    <n v="663000"/>
    <s v="OK"/>
    <s v="Vikram Nair"/>
    <x v="1"/>
  </r>
  <r>
    <s v="ORD-5054"/>
    <d v="2025-12-27T00:00:00"/>
    <s v="CUST-1027"/>
    <x v="3"/>
    <s v="SKU-1001"/>
    <s v="Laptop"/>
    <s v="Electronics"/>
    <n v="7"/>
    <n v="65000"/>
    <n v="0.1"/>
    <s v="R004"/>
    <s v="Valid"/>
    <n v="409500"/>
    <s v="OK"/>
    <s v="Karan Mehta"/>
    <x v="0"/>
  </r>
  <r>
    <s v="ORD-5003"/>
    <d v="2025-11-27T00:00:00"/>
    <s v="CUST-1024"/>
    <x v="0"/>
    <s v="SKU-1006"/>
    <s v="Pen Set"/>
    <s v="Stationery"/>
    <n v="6"/>
    <n v="450"/>
    <n v="0.25"/>
    <s v="R001"/>
    <s v="Valid"/>
    <n v="2025"/>
    <s v="OK"/>
    <s v="Anita Sharma"/>
    <x v="6"/>
  </r>
  <r>
    <s v="ORD-5205"/>
    <d v="2026-09-01T00:00:00"/>
    <s v="CUST-1007"/>
    <x v="2"/>
    <s v="SKU-1003"/>
    <s v="Office Chair"/>
    <s v="Furniture"/>
    <n v="12"/>
    <n v="12000"/>
    <n v="0"/>
    <s v="R006"/>
    <s v="Valid"/>
    <n v="144000"/>
    <s v="Missing Data"/>
    <s v="Vikram Nair"/>
    <x v="12"/>
  </r>
  <r>
    <s v="ORD-5085"/>
    <d v="2025-12-11T00:00:00"/>
    <s v="CUST-1035"/>
    <x v="0"/>
    <s v="SKU-1009"/>
    <s v="Filing Cabinet"/>
    <s v="Furniture"/>
    <n v="7"/>
    <n v="9500"/>
    <n v="0.2"/>
    <s v="R001"/>
    <s v="Valid"/>
    <n v="53200"/>
    <s v="OK"/>
    <s v="Anita Sharma"/>
    <x v="0"/>
  </r>
  <r>
    <s v="ORD-5053"/>
    <d v="2026-03-03T00:00:00"/>
    <s v="CUST-1022"/>
    <x v="2"/>
    <s v="SKU-1007"/>
    <s v="Monitor"/>
    <s v="Electronics"/>
    <n v="7"/>
    <n v="18000"/>
    <n v="0.1"/>
    <s v="R004"/>
    <s v="Valid"/>
    <n v="113400"/>
    <s v="OK"/>
    <s v="Karan Mehta"/>
    <x v="8"/>
  </r>
  <r>
    <s v="ORD-5122"/>
    <d v="2026-04-20T00:00:00"/>
    <s v="CUST-1003"/>
    <x v="2"/>
    <s v="SKU-1010"/>
    <s v="Whiteboard"/>
    <s v="Office Supplies"/>
    <n v="5"/>
    <n v="2200"/>
    <n v="0"/>
    <s v="R006"/>
    <s v="Valid"/>
    <n v="11000"/>
    <s v="Missing Data"/>
    <s v="Vikram Nair"/>
    <x v="1"/>
  </r>
  <r>
    <s v="ORD-5207"/>
    <d v="2025-11-23T00:00:00"/>
    <s v="CUST-1006"/>
    <x v="5"/>
    <s v="SKU-1003"/>
    <s v="Office Chair"/>
    <s v="Furniture"/>
    <n v="8"/>
    <n v="12000"/>
    <n v="0"/>
    <s v="R002"/>
    <s v="Duplicate"/>
    <n v="96000"/>
    <s v="Duplicate"/>
    <s v="Rahul Verma"/>
    <x v="6"/>
  </r>
  <r>
    <s v="ORD-5149"/>
    <d v="2026-01-01T00:00:00"/>
    <s v="CUST-1030"/>
    <x v="5"/>
    <s v="SKU-1006"/>
    <s v="Pen Set"/>
    <s v="Stationery"/>
    <n v="11"/>
    <n v="450"/>
    <n v="0.15"/>
    <s v="R004"/>
    <s v="Valid"/>
    <n v="4207.5"/>
    <s v="OK"/>
    <s v="Karan Mehta"/>
    <x v="3"/>
  </r>
  <r>
    <s v="ORD-5018"/>
    <d v="2025-11-09T00:00:00"/>
    <s v="CUST-1004"/>
    <x v="1"/>
    <s v="SKU-1004"/>
    <s v="Standing Desk"/>
    <s v="Furniture"/>
    <n v="5"/>
    <n v="28000"/>
    <n v="0"/>
    <s v="R005"/>
    <s v="Valid"/>
    <n v="140000"/>
    <s v="Missing Data"/>
    <s v="Sneha Reddy"/>
    <x v="6"/>
  </r>
  <r>
    <s v="ORD-5010"/>
    <d v="2025-10-12T00:00:00"/>
    <s v="CUST-1027"/>
    <x v="4"/>
    <s v="SKU-1002"/>
    <s v="Headphones"/>
    <s v="Electronics"/>
    <n v="7"/>
    <n v="4500"/>
    <n v="0.25"/>
    <s v="R001"/>
    <s v="Valid"/>
    <n v="23625"/>
    <s v="OK"/>
    <s v="Anita Sharma"/>
    <x v="11"/>
  </r>
  <r>
    <s v="ORD-5175"/>
    <d v="2026-02-28T00:00:00"/>
    <s v="CUST-1008"/>
    <x v="1"/>
    <s v="SKU-1010"/>
    <s v="Whiteboard"/>
    <s v="Office Supplies"/>
    <n v="3"/>
    <n v="2200"/>
    <n v="0.05"/>
    <s v="R001"/>
    <s v="Valid"/>
    <n v="6270"/>
    <s v="OK"/>
    <s v="Anita Sharma"/>
    <x v="9"/>
  </r>
  <r>
    <s v="ORD-5068"/>
    <d v="2026-01-28T00:00:00"/>
    <s v="CUST-1035"/>
    <x v="2"/>
    <s v="SKU-1006"/>
    <s v="Pen Set"/>
    <s v="Stationery"/>
    <n v="12"/>
    <n v="450"/>
    <n v="0"/>
    <s v="R006"/>
    <s v="Valid"/>
    <n v="5400"/>
    <s v="Missing Data"/>
    <s v="Vikram Nair"/>
    <x v="3"/>
  </r>
  <r>
    <s v="ORD-5013"/>
    <d v="2026-03-16T00:00:00"/>
    <s v="CUST-1038"/>
    <x v="2"/>
    <s v="SKU-1008"/>
    <s v="Keyboard"/>
    <s v="Electronics"/>
    <n v="1"/>
    <n v="3500"/>
    <n v="0.15"/>
    <s v="R002"/>
    <s v="Valid"/>
    <n v="2975"/>
    <s v="OK"/>
    <s v="Rahul Verma"/>
    <x v="8"/>
  </r>
  <r>
    <s v="ORD-5048"/>
    <d v="2025-12-02T00:00:00"/>
    <s v="CUST-1008"/>
    <x v="3"/>
    <s v="SKU-1009"/>
    <s v="Filing Cabinet"/>
    <s v="Furniture"/>
    <n v="9"/>
    <n v="9500"/>
    <n v="0.25"/>
    <s v="R006"/>
    <s v="Valid"/>
    <n v="64125"/>
    <s v="OK"/>
    <s v="Vikram Nair"/>
    <x v="0"/>
  </r>
  <r>
    <s v="ORD-5191"/>
    <d v="2026-03-10T00:00:00"/>
    <s v="CUST-1036"/>
    <x v="2"/>
    <s v="SKU-1008"/>
    <s v="Keyboard"/>
    <s v="Electronics"/>
    <n v="1"/>
    <n v="3500"/>
    <n v="0.25"/>
    <s v="R003"/>
    <s v="Valid"/>
    <n v="2625"/>
    <s v="OK"/>
    <s v="Priya Iyer"/>
    <x v="8"/>
  </r>
  <r>
    <s v="ORD-5023"/>
    <d v="2026-02-08T00:00:00"/>
    <s v="CUST-1029"/>
    <x v="2"/>
    <s v="SKU-1007"/>
    <s v="Monitor"/>
    <s v="Electronics"/>
    <n v="12"/>
    <n v="18000"/>
    <n v="0.2"/>
    <s v="R002"/>
    <s v="Valid"/>
    <n v="172800"/>
    <s v="OK"/>
    <s v="Rahul Verma"/>
    <x v="9"/>
  </r>
  <r>
    <s v="ORD-5094"/>
    <d v="2025-11-10T00:00:00"/>
    <s v="CUST-1015"/>
    <x v="2"/>
    <s v="SKU-1004"/>
    <s v="Standing Desk"/>
    <s v="Furniture"/>
    <n v="12"/>
    <n v="28000"/>
    <n v="0.05"/>
    <s v="R004"/>
    <s v="Valid"/>
    <n v="319200"/>
    <s v="OK"/>
    <s v="Karan Mehta"/>
    <x v="6"/>
  </r>
  <r>
    <s v="ORD-5115"/>
    <d v="2025-11-17T00:00:00"/>
    <s v="CUST-1028"/>
    <x v="2"/>
    <s v="SKU-1009"/>
    <s v="Filing Cabinet"/>
    <s v="Furniture"/>
    <n v="10"/>
    <n v="9500"/>
    <n v="0.05"/>
    <s v="R006"/>
    <s v="Valid"/>
    <n v="90250"/>
    <s v="OK"/>
    <s v="Vikram Nair"/>
    <x v="6"/>
  </r>
  <r>
    <s v="ORD-5020"/>
    <d v="2025-11-14T00:00:00"/>
    <s v="CUST-1003"/>
    <x v="2"/>
    <s v="SKU-1006"/>
    <s v="Pen Set"/>
    <s v="Stationery"/>
    <n v="2"/>
    <n v="450"/>
    <n v="0.2"/>
    <s v="R002"/>
    <s v="Valid"/>
    <n v="720"/>
    <s v="OK"/>
    <s v="Rahul Verma"/>
    <x v="6"/>
  </r>
  <r>
    <s v="ORD-5084"/>
    <d v="2026-08-01T00:00:00"/>
    <s v="CUST-1018"/>
    <x v="3"/>
    <s v="SKU-1008"/>
    <s v="Keyboard"/>
    <s v="Electronics"/>
    <n v="2"/>
    <n v="0"/>
    <n v="0.1"/>
    <s v="R006"/>
    <s v="Valid"/>
    <n v="0"/>
    <s v="Missing Data"/>
    <s v="Vikram Nair"/>
    <x v="2"/>
  </r>
  <r>
    <s v="ORD-5052"/>
    <d v="2026-04-11T00:00:00"/>
    <s v="CUST-1026"/>
    <x v="2"/>
    <s v="SKU-1010"/>
    <s v="Whiteboard"/>
    <s v="Office Supplies"/>
    <n v="12"/>
    <n v="0"/>
    <n v="0.25"/>
    <s v="R004"/>
    <s v="Valid"/>
    <n v="0"/>
    <s v="Missing Data"/>
    <s v="Karan Mehta"/>
    <x v="1"/>
  </r>
  <r>
    <s v="ORD-5065"/>
    <d v="2025-12-17T00:00:00"/>
    <s v="CUST-1013"/>
    <x v="2"/>
    <s v="SKU-1005"/>
    <s v="Notebook"/>
    <s v="Stationery"/>
    <n v="6"/>
    <n v="250"/>
    <n v="0.25"/>
    <s v="R001"/>
    <s v="Valid"/>
    <n v="1125"/>
    <s v="OK"/>
    <s v="Anita Sharma"/>
    <x v="0"/>
  </r>
  <r>
    <s v="ORD-5152"/>
    <d v="2026-03-03T00:00:00"/>
    <s v="CUST-1001"/>
    <x v="3"/>
    <s v="SKU-1001"/>
    <s v="Laptop"/>
    <s v="Electronics"/>
    <n v="7"/>
    <n v="65000"/>
    <n v="0.15"/>
    <s v="R002"/>
    <s v="Duplicate"/>
    <n v="386750"/>
    <s v="Duplicate"/>
    <s v="Rahul Verma"/>
    <x v="8"/>
  </r>
  <r>
    <s v="ORD-5099"/>
    <d v="2025-12-21T00:00:00"/>
    <s v="CUST-1030"/>
    <x v="0"/>
    <s v="SKU-1004"/>
    <s v="Standing Desk"/>
    <s v="Furniture"/>
    <n v="7"/>
    <n v="28000"/>
    <n v="0.15"/>
    <s v="R001"/>
    <s v="Valid"/>
    <n v="166600"/>
    <s v="OK"/>
    <s v="Anita Sharma"/>
    <x v="0"/>
  </r>
  <r>
    <s v="ORD-5034"/>
    <d v="2025-11-11T00:00:00"/>
    <s v="CUST-1023"/>
    <x v="0"/>
    <s v="SKU-1006"/>
    <s v="Pen Set"/>
    <s v="Stationery"/>
    <n v="4"/>
    <n v="450"/>
    <n v="0.25"/>
    <s v="R004"/>
    <s v="Valid"/>
    <n v="1350"/>
    <s v="OK"/>
    <s v="Karan Mehta"/>
    <x v="6"/>
  </r>
  <r>
    <s v="ORD-5135"/>
    <d v="2028-05-01T00:00:00"/>
    <s v="CUST-1015"/>
    <x v="0"/>
    <s v="SKU-1003"/>
    <s v="Office Chair"/>
    <s v="Furniture"/>
    <n v="5"/>
    <n v="12000"/>
    <n v="0.05"/>
    <s v="R002"/>
    <s v="Valid"/>
    <n v="57000"/>
    <s v="OK"/>
    <s v="Rahul Verma"/>
    <x v="5"/>
  </r>
  <r>
    <s v="ORD-5017"/>
    <d v="2026-03-03T00:00:00"/>
    <s v="CUST-1037"/>
    <x v="1"/>
    <s v="SKU-1004"/>
    <s v="Standing Desk"/>
    <s v="Furniture"/>
    <n v="10"/>
    <n v="28000"/>
    <n v="0.1"/>
    <s v="R001"/>
    <s v="Duplicate"/>
    <n v="252000"/>
    <s v="Duplicate"/>
    <s v="Anita Sharma"/>
    <x v="8"/>
  </r>
  <r>
    <s v="ORD-5179"/>
    <d v="2025-11-12T00:00:00"/>
    <s v="CUST-1013"/>
    <x v="1"/>
    <s v="SKU-1007"/>
    <s v="Monitor"/>
    <s v="Electronics"/>
    <n v="10"/>
    <n v="18000"/>
    <n v="0.15"/>
    <s v="R006"/>
    <s v="Valid"/>
    <n v="153000"/>
    <s v="OK"/>
    <s v="Vikram Nair"/>
    <x v="6"/>
  </r>
  <r>
    <s v="ORD-5200"/>
    <d v="2026-07-04T00:00:00"/>
    <s v="CUST-1015"/>
    <x v="0"/>
    <s v="SKU-1009"/>
    <s v="Filing Cabinet"/>
    <s v="Furniture"/>
    <n v="4"/>
    <n v="9500"/>
    <n v="0.2"/>
    <s v="R001"/>
    <s v="Valid"/>
    <n v="30400"/>
    <s v="OK"/>
    <s v="Anita Sharma"/>
    <x v="10"/>
  </r>
  <r>
    <s v="ORD-5143"/>
    <d v="2027-06-04T00:00:00"/>
    <s v="CUST-1021"/>
    <x v="0"/>
    <s v="SKU-1010"/>
    <s v="Whiteboard"/>
    <s v="Office Supplies"/>
    <n v="11"/>
    <n v="2200"/>
    <n v="0.2"/>
    <s v="R002"/>
    <s v="Valid"/>
    <n v="19360"/>
    <s v="OK"/>
    <s v="Rahul Verma"/>
    <x v="4"/>
  </r>
  <r>
    <s v="ORD-5185"/>
    <d v="2026-01-30T00:00:00"/>
    <s v="CUST-1003"/>
    <x v="2"/>
    <s v="SKU-1008"/>
    <s v="Keyboard"/>
    <s v="Electronics"/>
    <n v="10"/>
    <n v="3500"/>
    <n v="0.25"/>
    <s v="R001"/>
    <s v="Duplicate"/>
    <n v="26250"/>
    <s v="Duplicate"/>
    <s v="Anita Sharma"/>
    <x v="3"/>
  </r>
  <r>
    <s v="ORD-5118"/>
    <d v="2026-01-23T00:00:00"/>
    <s v="CUST-1038"/>
    <x v="1"/>
    <s v="SKU-1005"/>
    <s v="Notebook"/>
    <s v="Stationery"/>
    <n v="8"/>
    <n v="250"/>
    <n v="0.05"/>
    <s v="R006"/>
    <s v="Valid"/>
    <n v="1900"/>
    <s v="OK"/>
    <s v="Vikram Nair"/>
    <x v="3"/>
  </r>
  <r>
    <s v="ORD-5204"/>
    <d v="2026-03-26T00:00:00"/>
    <s v="CUST-1021"/>
    <x v="2"/>
    <s v="SKU-1008"/>
    <s v="Keyboard"/>
    <s v="Electronics"/>
    <n v="11"/>
    <n v="3500"/>
    <n v="0.25"/>
    <s v="R004"/>
    <s v="Valid"/>
    <n v="28875"/>
    <s v="OK"/>
    <s v="Karan Mehta"/>
    <x v="8"/>
  </r>
  <r>
    <s v="ORD-5176"/>
    <d v="2027-01-03T00:00:00"/>
    <s v="CUST-1019"/>
    <x v="5"/>
    <s v="SKU-1003"/>
    <s v="Office Chair"/>
    <s v="Furniture"/>
    <n v="6"/>
    <n v="12000"/>
    <n v="0.25"/>
    <s v="R003"/>
    <s v="Valid"/>
    <n v="54000"/>
    <s v="OK"/>
    <s v="Priya Iyer"/>
    <x v="3"/>
  </r>
  <r>
    <s v="ORD-5057"/>
    <d v="2026-01-04T00:00:00"/>
    <s v="CUST-1030"/>
    <x v="0"/>
    <s v="SKU-1009"/>
    <s v="Filing Cabinet"/>
    <s v="Furniture"/>
    <n v="1"/>
    <n v="9500"/>
    <n v="0.05"/>
    <s v="R001"/>
    <s v="Valid"/>
    <n v="9025"/>
    <s v="OK"/>
    <s v="Anita Sharma"/>
    <x v="3"/>
  </r>
  <r>
    <s v="ORD-5061"/>
    <d v="2026-04-28T00:00:00"/>
    <s v="CUST-1038"/>
    <x v="0"/>
    <s v="SKU-1010"/>
    <s v="Whiteboard"/>
    <s v="Office Supplies"/>
    <n v="1"/>
    <n v="2200"/>
    <n v="0.25"/>
    <s v="R006"/>
    <s v="Duplicate"/>
    <n v="1650"/>
    <s v="Duplicate"/>
    <s v="Vikram Nair"/>
    <x v="1"/>
  </r>
  <r>
    <s v="ORD-5121"/>
    <d v="2025-11-25T00:00:00"/>
    <s v="CUST-1008"/>
    <x v="1"/>
    <s v="SKU-1001"/>
    <s v="Laptop"/>
    <s v="Electronics"/>
    <n v="10"/>
    <n v="65000"/>
    <n v="0.2"/>
    <s v="R003"/>
    <s v="Valid"/>
    <n v="520000"/>
    <s v="OK"/>
    <s v="Priya Iyer"/>
    <x v="6"/>
  </r>
  <r>
    <s v="ORD-5137"/>
    <d v="2026-04-10T00:00:00"/>
    <s v="CUST-1009"/>
    <x v="3"/>
    <s v="SKU-1002"/>
    <s v="Headphones"/>
    <s v="Electronics"/>
    <n v="8"/>
    <n v="4500"/>
    <n v="0"/>
    <s v="R001"/>
    <s v="Valid"/>
    <n v="36000"/>
    <s v="Missing Data"/>
    <s v="Anita Sharma"/>
    <x v="1"/>
  </r>
  <r>
    <s v="ORD-5047"/>
    <d v="2026-04-26T00:00:00"/>
    <s v="CUST-1006"/>
    <x v="3"/>
    <s v="SKU-1004"/>
    <s v="Standing Desk"/>
    <s v="Furniture"/>
    <n v="3"/>
    <n v="28000"/>
    <n v="0.25"/>
    <s v="R002"/>
    <s v="Valid"/>
    <n v="63000"/>
    <s v="OK"/>
    <s v="Rahul Verma"/>
    <x v="1"/>
  </r>
  <r>
    <s v="ORD-5096"/>
    <d v="2027-02-02T00:00:00"/>
    <s v="CUST-1010"/>
    <x v="5"/>
    <s v="SKU-1002"/>
    <s v="Headphones"/>
    <s v="Electronics"/>
    <n v="10"/>
    <n v="4500"/>
    <n v="0"/>
    <s v="R005"/>
    <s v="Valid"/>
    <n v="45000"/>
    <s v="Missing Data"/>
    <s v="Sneha Reddy"/>
    <x v="9"/>
  </r>
  <r>
    <s v="ORD-5199"/>
    <d v="2026-02-22T00:00:00"/>
    <s v="CUST-1030"/>
    <x v="5"/>
    <s v="SKU-1004"/>
    <s v="Standing Desk"/>
    <s v="Furniture"/>
    <n v="9"/>
    <n v="28000"/>
    <n v="0"/>
    <s v="R001"/>
    <s v="Valid"/>
    <n v="252000"/>
    <s v="Missing Data"/>
    <s v="Anita Sharma"/>
    <x v="9"/>
  </r>
  <r>
    <s v="ORD-5038"/>
    <d v="2026-04-14T00:00:00"/>
    <s v="CUST-1034"/>
    <x v="2"/>
    <s v="SKU-1001"/>
    <s v="Laptop"/>
    <s v="Electronics"/>
    <n v="2"/>
    <n v="65000"/>
    <n v="0.15"/>
    <s v="R001"/>
    <s v="Valid"/>
    <n v="110500"/>
    <s v="OK"/>
    <s v="Anita Sharma"/>
    <x v="1"/>
  </r>
  <r>
    <s v="ORD-5104"/>
    <d v="2026-01-15T00:00:00"/>
    <s v="CUST-1007"/>
    <x v="3"/>
    <s v="SKU-1002"/>
    <s v="Headphones"/>
    <s v="Electronics"/>
    <n v="3"/>
    <n v="4500"/>
    <n v="0.2"/>
    <s v="R005"/>
    <s v="Valid"/>
    <n v="10800"/>
    <s v="OK"/>
    <s v="Sneha Reddy"/>
    <x v="3"/>
  </r>
  <r>
    <s v="ORD-5106"/>
    <d v="2026-02-06T00:00:00"/>
    <s v="CUST-1006"/>
    <x v="5"/>
    <s v="SKU-1008"/>
    <s v="Keyboard"/>
    <s v="Electronics"/>
    <n v="1"/>
    <n v="3500"/>
    <n v="0.25"/>
    <s v="R002"/>
    <s v="Valid"/>
    <n v="2625"/>
    <s v="OK"/>
    <s v="Rahul Verma"/>
    <x v="9"/>
  </r>
  <r>
    <s v="ORD-5178"/>
    <d v="2026-02-12T00:00:00"/>
    <s v="CUST-1010"/>
    <x v="4"/>
    <s v="SKU-1010"/>
    <s v="Whiteboard"/>
    <s v="Office Supplies"/>
    <n v="6"/>
    <n v="2200"/>
    <n v="0.05"/>
    <s v="R001"/>
    <s v="Valid"/>
    <n v="12540"/>
    <s v="OK"/>
    <s v="Anita Sharma"/>
    <x v="9"/>
  </r>
  <r>
    <s v="ORD-5212"/>
    <d v="2026-03-16T00:00:00"/>
    <s v="CUST-1004"/>
    <x v="1"/>
    <s v="SKU-1002"/>
    <s v="Headphones"/>
    <s v="Electronics"/>
    <n v="1"/>
    <n v="4500"/>
    <n v="0"/>
    <s v="R005"/>
    <s v="Valid"/>
    <n v="4500"/>
    <s v="Missing Data"/>
    <s v="Sneha Reddy"/>
    <x v="8"/>
  </r>
  <r>
    <s v="ORD-5134"/>
    <d v="2028-02-01T00:00:00"/>
    <s v="CUST-1021"/>
    <x v="5"/>
    <s v="SKU-1002"/>
    <s v="Headphones"/>
    <s v="Electronics"/>
    <n v="9"/>
    <n v="4500"/>
    <n v="0"/>
    <s v="R003"/>
    <s v="Valid"/>
    <n v="40500"/>
    <s v="Missing Data"/>
    <s v="Priya Iyer"/>
    <x v="9"/>
  </r>
  <r>
    <s v="ORD-5097"/>
    <d v="2025-07-12T00:00:00"/>
    <s v="CUST-1029"/>
    <x v="5"/>
    <s v="SKU-1008"/>
    <s v="Keyboard"/>
    <s v="Electronics"/>
    <n v="5"/>
    <n v="3500"/>
    <n v="0.15"/>
    <s v="R006"/>
    <s v="Valid"/>
    <n v="14875"/>
    <s v="OK"/>
    <s v="Vikram Nair"/>
    <x v="10"/>
  </r>
  <r>
    <s v="ORD-5171"/>
    <d v="2027-12-02T00:00:00"/>
    <s v="CUST-1028"/>
    <x v="0"/>
    <s v="SKU-1006"/>
    <s v="Pen Set"/>
    <s v="Stationery"/>
    <n v="11"/>
    <n v="450"/>
    <n v="0.15"/>
    <s v="R002"/>
    <s v="Valid"/>
    <n v="4207.5"/>
    <s v="OK"/>
    <s v="Rahul Verma"/>
    <x v="0"/>
  </r>
  <r>
    <s v="ORD-5164"/>
    <d v="2025-12-17T00:00:00"/>
    <s v="CUST-1020"/>
    <x v="0"/>
    <s v="SKU-1002"/>
    <s v="Headphones"/>
    <s v="Electronics"/>
    <n v="6"/>
    <n v="4500"/>
    <n v="0.2"/>
    <s v="R002"/>
    <s v="Valid"/>
    <n v="21600"/>
    <s v="OK"/>
    <s v="Rahul Verma"/>
    <x v="0"/>
  </r>
  <r>
    <s v="ORD-5088"/>
    <d v="2026-01-27T00:00:00"/>
    <s v="CUST-1000"/>
    <x v="2"/>
    <s v="SKU-1005"/>
    <s v="Notebook"/>
    <s v="Stationery"/>
    <n v="10"/>
    <n v="250"/>
    <n v="0.2"/>
    <s v="R005"/>
    <s v="Valid"/>
    <n v="2000"/>
    <s v="OK"/>
    <s v="Sneha Reddy"/>
    <x v="3"/>
  </r>
  <r>
    <s v="ORD-5114"/>
    <d v="2025-11-04T00:00:00"/>
    <s v="CUST-1015"/>
    <x v="4"/>
    <s v="SKU-1006"/>
    <s v="Pen Set"/>
    <s v="Stationery"/>
    <n v="1"/>
    <n v="450"/>
    <n v="0.25"/>
    <s v="R001"/>
    <s v="Duplicate"/>
    <n v="337.5"/>
    <s v="Duplicate"/>
    <s v="Anita Sharma"/>
    <x v="6"/>
  </r>
  <r>
    <s v="ORD-5126"/>
    <d v="2025-12-26T00:00:00"/>
    <s v="CUST-1026"/>
    <x v="3"/>
    <s v="SKU-1006"/>
    <s v="Pen Set"/>
    <s v="Stationery"/>
    <n v="3"/>
    <n v="450"/>
    <n v="0.25"/>
    <s v="R005"/>
    <s v="Valid"/>
    <n v="1012.5"/>
    <s v="OK"/>
    <s v="Sneha Reddy"/>
    <x v="0"/>
  </r>
  <r>
    <s v="ORD-5196"/>
    <d v="2026-03-17T00:00:00"/>
    <s v="CUST-1034"/>
    <x v="2"/>
    <s v="SKU-1005"/>
    <s v="Notebook"/>
    <s v="Stationery"/>
    <n v="10"/>
    <n v="250"/>
    <n v="0"/>
    <s v="R003"/>
    <s v="Duplicate"/>
    <n v="2500"/>
    <s v="Duplicate"/>
    <s v="Priya Iyer"/>
    <x v="8"/>
  </r>
  <r>
    <s v="ORD-5109"/>
    <d v="2028-07-03T00:00:00"/>
    <s v="CUST-1026"/>
    <x v="0"/>
    <s v="SKU-1008"/>
    <s v="Keyboard"/>
    <s v="Electronics"/>
    <n v="10"/>
    <n v="3500"/>
    <n v="0"/>
    <s v="R003"/>
    <s v="Valid"/>
    <n v="35000"/>
    <s v="Missing Data"/>
    <s v="Priya Iyer"/>
    <x v="10"/>
  </r>
  <r>
    <s v="ORD-5173"/>
    <d v="2025-11-07T00:00:00"/>
    <s v="CUST-1035"/>
    <x v="1"/>
    <s v="SKU-1006"/>
    <s v="Pen Set"/>
    <s v="Stationery"/>
    <n v="8"/>
    <n v="450"/>
    <n v="0.05"/>
    <s v="R001"/>
    <s v="Valid"/>
    <n v="3420"/>
    <s v="OK"/>
    <s v="Anita Sharma"/>
    <x v="6"/>
  </r>
  <r>
    <s v="ORD-5160"/>
    <d v="2026-02-27T00:00:00"/>
    <s v="CUST-1011"/>
    <x v="0"/>
    <s v="SKU-1002"/>
    <s v="Headphones"/>
    <s v="Electronics"/>
    <n v="12"/>
    <n v="4500"/>
    <n v="0"/>
    <s v="R001"/>
    <s v="Valid"/>
    <n v="54000"/>
    <s v="Missing Data"/>
    <s v="Anita Sharma"/>
    <x v="9"/>
  </r>
  <r>
    <s v="ORD-5044"/>
    <d v="2026-02-22T00:00:00"/>
    <s v="CUST-1013"/>
    <x v="1"/>
    <s v="SKU-1008"/>
    <s v="Keyboard"/>
    <s v="Electronics"/>
    <n v="12"/>
    <n v="3500"/>
    <n v="0.25"/>
    <s v="R003"/>
    <s v="Valid"/>
    <n v="31500"/>
    <s v="OK"/>
    <s v="Priya Iyer"/>
    <x v="9"/>
  </r>
  <r>
    <s v="ORD-5188"/>
    <d v="2025-12-03T00:00:00"/>
    <s v="CUST-1025"/>
    <x v="2"/>
    <s v="SKU-1006"/>
    <s v="Pen Set"/>
    <s v="Stationery"/>
    <n v="9"/>
    <n v="450"/>
    <n v="0"/>
    <s v="R005"/>
    <s v="Valid"/>
    <n v="4050"/>
    <s v="Missing Data"/>
    <s v="Sneha Reddy"/>
    <x v="0"/>
  </r>
  <r>
    <s v="ORD-5151"/>
    <d v="2025-11-27T00:00:00"/>
    <s v="CUST-1018"/>
    <x v="0"/>
    <s v="SKU-1003"/>
    <s v="Office Chair"/>
    <s v="Furniture"/>
    <n v="5"/>
    <n v="12000"/>
    <n v="0.05"/>
    <s v="R002"/>
    <s v="Valid"/>
    <n v="57000"/>
    <s v="OK"/>
    <s v="Rahul Verma"/>
    <x v="6"/>
  </r>
  <r>
    <s v="ORD-5142"/>
    <d v="2026-02-13T00:00:00"/>
    <s v="CUST-1038"/>
    <x v="0"/>
    <s v="SKU-1006"/>
    <s v="Pen Set"/>
    <s v="Stationery"/>
    <n v="2"/>
    <n v="450"/>
    <n v="0.15"/>
    <s v="R006"/>
    <s v="Valid"/>
    <n v="765"/>
    <s v="OK"/>
    <s v="Vikram Nair"/>
    <x v="9"/>
  </r>
  <r>
    <s v="ORD-5015"/>
    <d v="2026-04-18T00:00:00"/>
    <s v="CUST-1035"/>
    <x v="5"/>
    <s v="SKU-1005"/>
    <s v="Notebook"/>
    <s v="Stationery"/>
    <n v="9"/>
    <n v="250"/>
    <n v="0"/>
    <s v="R005"/>
    <s v="Valid"/>
    <n v="2250"/>
    <s v="Missing Data"/>
    <s v="Sneha Reddy"/>
    <x v="1"/>
  </r>
  <r>
    <s v="ORD-5070"/>
    <d v="2026-01-12T00:00:00"/>
    <s v="CUST-1012"/>
    <x v="2"/>
    <s v="SKU-1004"/>
    <s v="Standing Desk"/>
    <s v="Furniture"/>
    <n v="6"/>
    <n v="0"/>
    <n v="0.15"/>
    <s v="R001"/>
    <s v="Valid"/>
    <n v="0"/>
    <s v="Missing Data"/>
    <s v="Anita Sharma"/>
    <x v="3"/>
  </r>
  <r>
    <s v="ORD-5076"/>
    <d v="2026-04-26T00:00:00"/>
    <s v="CUST-1018"/>
    <x v="0"/>
    <s v="SKU-1004"/>
    <s v="Standing Desk"/>
    <s v="Furniture"/>
    <n v="5"/>
    <n v="28000"/>
    <n v="0.1"/>
    <s v="R003"/>
    <s v="Valid"/>
    <n v="126000"/>
    <s v="OK"/>
    <s v="Priya Iyer"/>
    <x v="1"/>
  </r>
  <r>
    <s v="ORD-5105"/>
    <d v="2026-02-02T00:00:00"/>
    <s v="CUST-1025"/>
    <x v="0"/>
    <s v="SKU-1005"/>
    <s v="Notebook"/>
    <s v="Stationery"/>
    <n v="9"/>
    <n v="250"/>
    <n v="0.15"/>
    <s v="R005"/>
    <s v="Valid"/>
    <n v="1912.5"/>
    <s v="OK"/>
    <s v="Sneha Reddy"/>
    <x v="9"/>
  </r>
  <r>
    <s v="ORD-5056"/>
    <d v="2025-12-17T00:00:00"/>
    <s v="CUST-1016"/>
    <x v="2"/>
    <s v="SKU-1006"/>
    <s v="Pen Set"/>
    <s v="Stationery"/>
    <n v="4"/>
    <n v="450"/>
    <n v="0.15"/>
    <s v="R004"/>
    <s v="Valid"/>
    <n v="1530"/>
    <s v="OK"/>
    <s v="Karan Mehta"/>
    <x v="0"/>
  </r>
  <r>
    <s v="ORD-5133"/>
    <d v="2026-04-26T00:00:00"/>
    <s v="CUST-1005"/>
    <x v="3"/>
    <s v="SKU-1002"/>
    <s v="Headphones"/>
    <s v="Electronics"/>
    <n v="4"/>
    <n v="4500"/>
    <n v="0"/>
    <s v="R003"/>
    <s v="Valid"/>
    <n v="18000"/>
    <s v="Missing Data"/>
    <s v="Priya Iyer"/>
    <x v="1"/>
  </r>
  <r>
    <s v="ORD-5169"/>
    <d v="2026-04-16T00:00:00"/>
    <s v="CUST-1015"/>
    <x v="0"/>
    <s v="SKU-1001"/>
    <s v="Laptop"/>
    <s v="Electronics"/>
    <n v="12"/>
    <n v="65000"/>
    <n v="0.05"/>
    <s v="R003"/>
    <s v="Duplicate"/>
    <n v="741000"/>
    <s v="Duplicate"/>
    <s v="Priya Iyer"/>
    <x v="1"/>
  </r>
  <r>
    <s v="ORD-5036"/>
    <d v="2027-09-04T00:00:00"/>
    <s v="CUST-1017"/>
    <x v="5"/>
    <s v="SKU-1002"/>
    <s v="Headphones"/>
    <s v="Electronics"/>
    <n v="7"/>
    <n v="4500"/>
    <n v="0"/>
    <s v="R004"/>
    <s v="Valid"/>
    <n v="31500"/>
    <s v="Missing Data"/>
    <s v="Karan Mehta"/>
    <x v="12"/>
  </r>
  <r>
    <s v="ORD-5077"/>
    <d v="2026-10-04T00:00:00"/>
    <s v="CUST-1027"/>
    <x v="0"/>
    <s v="SKU-1009"/>
    <s v="Filing Cabinet"/>
    <s v="Furniture"/>
    <n v="4"/>
    <n v="9500"/>
    <n v="0.05"/>
    <s v="R001"/>
    <s v="Valid"/>
    <n v="36100"/>
    <s v="OK"/>
    <s v="Anita Sharma"/>
    <x v="11"/>
  </r>
  <r>
    <s v="ORD-5060"/>
    <d v="2025-11-28T00:00:00"/>
    <s v="CUST-1019"/>
    <x v="1"/>
    <s v="SKU-1007"/>
    <s v="Monitor"/>
    <s v="Electronics"/>
    <n v="7"/>
    <n v="18000"/>
    <n v="0.1"/>
    <s v="R001"/>
    <s v="Valid"/>
    <n v="113400"/>
    <s v="OK"/>
    <s v="Anita Sharma"/>
    <x v="6"/>
  </r>
  <r>
    <s v="ORD-5082"/>
    <d v="2026-04-27T00:00:00"/>
    <s v="CUST-1018"/>
    <x v="2"/>
    <s v="SKU-1009"/>
    <s v="Filing Cabinet"/>
    <s v="Furniture"/>
    <n v="1"/>
    <n v="9500"/>
    <n v="0.2"/>
    <s v="R005"/>
    <s v="Valid"/>
    <n v="7600"/>
    <s v="OK"/>
    <s v="Sneha Reddy"/>
    <x v="1"/>
  </r>
  <r>
    <s v="ORD-5172"/>
    <d v="2028-05-04T00:00:00"/>
    <s v="CUST-1023"/>
    <x v="1"/>
    <s v="SKU-1004"/>
    <s v="Standing Desk"/>
    <s v="Furniture"/>
    <n v="2"/>
    <n v="28000"/>
    <n v="0"/>
    <s v="R004"/>
    <s v="Duplicate"/>
    <n v="56000"/>
    <s v="Duplicate"/>
    <s v="Karan Mehta"/>
    <x v="5"/>
  </r>
  <r>
    <s v="ORD-5197"/>
    <d v="2025-12-28T00:00:00"/>
    <s v="CUST-1018"/>
    <x v="5"/>
    <s v="SKU-1008"/>
    <s v="Keyboard"/>
    <s v="Electronics"/>
    <n v="6"/>
    <n v="3500"/>
    <n v="0.15"/>
    <s v="R003"/>
    <s v="Valid"/>
    <n v="17850"/>
    <s v="OK"/>
    <s v="Priya Iyer"/>
    <x v="0"/>
  </r>
  <r>
    <s v="ORD-5153"/>
    <d v="2025-11-08T00:00:00"/>
    <s v="CUST-1006"/>
    <x v="2"/>
    <s v="SKU-1003"/>
    <s v="Office Chair"/>
    <s v="Furniture"/>
    <n v="3"/>
    <n v="0"/>
    <n v="0.2"/>
    <s v="R006"/>
    <s v="Duplicate"/>
    <n v="0"/>
    <s v="Duplicate"/>
    <s v="Vikram Nair"/>
    <x v="6"/>
  </r>
  <r>
    <s v="ORD-5213"/>
    <d v="2025-09-12T00:00:00"/>
    <s v="CUST-1020"/>
    <x v="1"/>
    <s v="SKU-1008"/>
    <s v="Keyboard"/>
    <s v="Electronics"/>
    <n v="2"/>
    <n v="3500"/>
    <n v="0.25"/>
    <s v="R004"/>
    <s v="Valid"/>
    <n v="5250"/>
    <s v="OK"/>
    <s v="Karan Mehta"/>
    <x v="12"/>
  </r>
  <r>
    <s v="ORD-5081"/>
    <d v="2026-02-20T00:00:00"/>
    <s v="CUST-1005"/>
    <x v="3"/>
    <s v="SKU-1006"/>
    <s v="Pen Set"/>
    <s v="Stationery"/>
    <n v="7"/>
    <n v="450"/>
    <n v="0.15"/>
    <s v="R004"/>
    <s v="Valid"/>
    <n v="2677.5"/>
    <s v="OK"/>
    <s v="Karan Mehta"/>
    <x v="9"/>
  </r>
  <r>
    <s v="ORD-5147"/>
    <d v="2026-04-19T00:00:00"/>
    <s v="CUST-1039"/>
    <x v="0"/>
    <s v="SKU-1010"/>
    <s v="Whiteboard"/>
    <s v="Office Supplies"/>
    <n v="7"/>
    <n v="2200"/>
    <n v="0.25"/>
    <s v="R002"/>
    <s v="Valid"/>
    <n v="11550"/>
    <s v="OK"/>
    <s v="Rahul Verma"/>
    <x v="1"/>
  </r>
  <r>
    <s v="ORD-5187"/>
    <d v="2026-03-22T00:00:00"/>
    <s v="CUST-1004"/>
    <x v="2"/>
    <s v="SKU-1009"/>
    <s v="Filing Cabinet"/>
    <s v="Furniture"/>
    <n v="8"/>
    <n v="9500"/>
    <n v="0.25"/>
    <s v="R001"/>
    <s v="Valid"/>
    <n v="57000"/>
    <s v="OK"/>
    <s v="Anita Sharma"/>
    <x v="8"/>
  </r>
  <r>
    <s v="ORD-5208"/>
    <d v="2026-02-23T00:00:00"/>
    <s v="CUST-1021"/>
    <x v="2"/>
    <s v="SKU-1010"/>
    <s v="Whiteboard"/>
    <s v="Office Supplies"/>
    <n v="12"/>
    <n v="2200"/>
    <n v="0.1"/>
    <s v="R001"/>
    <s v="Valid"/>
    <n v="23760"/>
    <s v="OK"/>
    <s v="Anita Sharma"/>
    <x v="9"/>
  </r>
  <r>
    <s v="ORD-5107"/>
    <d v="2026-04-15T00:00:00"/>
    <s v="CUST-1029"/>
    <x v="2"/>
    <s v="SKU-1007"/>
    <s v="Monitor"/>
    <s v="Electronics"/>
    <n v="2"/>
    <n v="18000"/>
    <n v="0.2"/>
    <s v="R001"/>
    <s v="Duplicate"/>
    <n v="28800"/>
    <s v="Duplicate"/>
    <s v="Anita Sharma"/>
    <x v="1"/>
  </r>
  <r>
    <s v="ORD-5074"/>
    <d v="2026-02-06T00:00:00"/>
    <s v="CUST-1028"/>
    <x v="2"/>
    <s v="SKU-1010"/>
    <s v="Whiteboard"/>
    <s v="Office Supplies"/>
    <n v="7"/>
    <n v="2200"/>
    <n v="0.05"/>
    <s v="R002"/>
    <s v="Valid"/>
    <n v="14630"/>
    <s v="OK"/>
    <s v="Rahul Verma"/>
    <x v="9"/>
  </r>
  <r>
    <s v="ORD-5128"/>
    <d v="2026-02-22T00:00:00"/>
    <s v="CUST-1017"/>
    <x v="5"/>
    <s v="SKU-1009"/>
    <s v="Filing Cabinet"/>
    <s v="Furniture"/>
    <n v="2"/>
    <n v="9500"/>
    <n v="0.25"/>
    <s v="R004"/>
    <s v="Valid"/>
    <n v="14250"/>
    <s v="OK"/>
    <s v="Karan Mehta"/>
    <x v="9"/>
  </r>
  <r>
    <s v="ORD-5035"/>
    <d v="2026-08-04T00:00:00"/>
    <s v="CUST-1015"/>
    <x v="5"/>
    <s v="SKU-1003"/>
    <s v="Office Chair"/>
    <s v="Furniture"/>
    <n v="7"/>
    <n v="0"/>
    <n v="0.15"/>
    <s v="R004"/>
    <s v="Valid"/>
    <n v="0"/>
    <s v="Missing Data"/>
    <s v="Karan Mehta"/>
    <x v="2"/>
  </r>
  <r>
    <s v="ORD-5014"/>
    <d v="2026-03-11T00:00:00"/>
    <s v="CUST-1036"/>
    <x v="0"/>
    <s v="SKU-1002"/>
    <s v="Headphones"/>
    <s v="Electronics"/>
    <n v="12"/>
    <n v="4500"/>
    <n v="0.1"/>
    <s v="R002"/>
    <s v="Valid"/>
    <n v="48600"/>
    <s v="OK"/>
    <s v="Rahul Verma"/>
    <x v="8"/>
  </r>
  <r>
    <s v="ORD-5198"/>
    <d v="2025-12-02T00:00:00"/>
    <s v="CUST-1025"/>
    <x v="2"/>
    <s v="SKU-1003"/>
    <s v="Office Chair"/>
    <s v="Furniture"/>
    <n v="5"/>
    <n v="0"/>
    <n v="0.05"/>
    <s v="R003"/>
    <s v="Valid"/>
    <n v="0"/>
    <s v="Missing Data"/>
    <s v="Priya Iyer"/>
    <x v="0"/>
  </r>
  <r>
    <s v="ORD-5195"/>
    <d v="2026-04-11T00:00:00"/>
    <s v="CUST-1033"/>
    <x v="5"/>
    <s v="SKU-1009"/>
    <s v="Filing Cabinet"/>
    <s v="Furniture"/>
    <n v="6"/>
    <n v="9500"/>
    <n v="0.1"/>
    <s v="R004"/>
    <s v="Duplicate"/>
    <n v="51300"/>
    <s v="Duplicate"/>
    <s v="Karan Mehta"/>
    <x v="1"/>
  </r>
  <r>
    <s v="ORD-5193"/>
    <d v="2026-03-03T00:00:00"/>
    <s v="CUST-1033"/>
    <x v="4"/>
    <s v="SKU-1007"/>
    <s v="Monitor"/>
    <s v="Electronics"/>
    <n v="3"/>
    <n v="18000"/>
    <n v="0.05"/>
    <s v="R002"/>
    <s v="Valid"/>
    <n v="51300"/>
    <s v="OK"/>
    <s v="Rahul Verma"/>
    <x v="8"/>
  </r>
  <r>
    <s v="ORD-5055"/>
    <d v="2025-12-03T00:00:00"/>
    <s v="CUST-1025"/>
    <x v="1"/>
    <s v="SKU-1010"/>
    <s v="Whiteboard"/>
    <s v="Office Supplies"/>
    <n v="11"/>
    <n v="0"/>
    <n v="0.1"/>
    <s v="R004"/>
    <s v="Valid"/>
    <n v="0"/>
    <s v="Missing Data"/>
    <s v="Karan Mehta"/>
    <x v="0"/>
  </r>
  <r>
    <s v="ORD-5138"/>
    <d v="2026-01-30T00:00:00"/>
    <s v="CUST-1019"/>
    <x v="3"/>
    <s v="SKU-1008"/>
    <s v="Keyboard"/>
    <s v="Electronics"/>
    <n v="1"/>
    <n v="3500"/>
    <n v="0"/>
    <s v="R001"/>
    <s v="Valid"/>
    <n v="3500"/>
    <s v="Missing Data"/>
    <s v="Anita Sharma"/>
    <x v="3"/>
  </r>
  <r>
    <s v="ORD-5059"/>
    <d v="2026-04-29T00:00:00"/>
    <s v="CUST-1023"/>
    <x v="5"/>
    <s v="SKU-1010"/>
    <s v="Whiteboard"/>
    <s v="Office Supplies"/>
    <n v="10"/>
    <n v="2200"/>
    <n v="0.1"/>
    <s v="R003"/>
    <s v="Valid"/>
    <n v="19800"/>
    <s v="OK"/>
    <s v="Priya Iyer"/>
    <x v="1"/>
  </r>
  <r>
    <s v="ORD-5112"/>
    <d v="2028-01-01T00:00:00"/>
    <s v="CUST-1008"/>
    <x v="1"/>
    <s v="SKU-1004"/>
    <s v="Standing Desk"/>
    <s v="Furniture"/>
    <n v="2"/>
    <n v="28000"/>
    <n v="0.1"/>
    <s v="R003"/>
    <s v="Valid"/>
    <n v="50400"/>
    <s v="OK"/>
    <s v="Priya Iyer"/>
    <x v="3"/>
  </r>
  <r>
    <s v="ORD-5102"/>
    <d v="2025-11-25T00:00:00"/>
    <s v="CUST-1019"/>
    <x v="3"/>
    <s v="SKU-1001"/>
    <s v="Laptop"/>
    <s v="Electronics"/>
    <n v="10"/>
    <n v="65000"/>
    <n v="0.15"/>
    <s v="R006"/>
    <s v="Valid"/>
    <n v="552500"/>
    <s v="OK"/>
    <s v="Vikram Nair"/>
    <x v="6"/>
  </r>
  <r>
    <s v="ORD-5011"/>
    <d v="2026-04-24T00:00:00"/>
    <s v="CUST-1034"/>
    <x v="5"/>
    <s v="SKU-1006"/>
    <s v="Pen Set"/>
    <s v="Stationery"/>
    <n v="2"/>
    <n v="450"/>
    <n v="0"/>
    <s v="R006"/>
    <s v="Valid"/>
    <n v="900"/>
    <s v="Missing Data"/>
    <s v="Vikram Nair"/>
    <x v="1"/>
  </r>
  <r>
    <s v="ORD-5189"/>
    <d v="2026-02-11T00:00:00"/>
    <s v="CUST-1002"/>
    <x v="0"/>
    <s v="SKU-1003"/>
    <s v="Office Chair"/>
    <s v="Furniture"/>
    <n v="12"/>
    <n v="12000"/>
    <n v="0.25"/>
    <s v="R005"/>
    <s v="Valid"/>
    <n v="108000"/>
    <s v="OK"/>
    <s v="Sneha Reddy"/>
    <x v="9"/>
  </r>
  <r>
    <s v="ORD-5062"/>
    <d v="2026-01-27T00:00:00"/>
    <s v="CUST-1026"/>
    <x v="3"/>
    <s v="SKU-1002"/>
    <s v="Headphones"/>
    <s v="Electronics"/>
    <n v="7"/>
    <n v="4500"/>
    <n v="0.1"/>
    <s v="R004"/>
    <s v="Valid"/>
    <n v="28350"/>
    <s v="OK"/>
    <s v="Karan Mehta"/>
    <x v="3"/>
  </r>
  <r>
    <s v="ORD-5012"/>
    <d v="2026-07-01T00:00:00"/>
    <s v="CUST-1032"/>
    <x v="0"/>
    <s v="SKU-1005"/>
    <s v="Notebook"/>
    <s v="Stationery"/>
    <n v="11"/>
    <n v="250"/>
    <n v="0.1"/>
    <s v="R005"/>
    <s v="Valid"/>
    <n v="2475"/>
    <s v="OK"/>
    <s v="Sneha Reddy"/>
    <x v="10"/>
  </r>
  <r>
    <s v="ORD-5008"/>
    <d v="2027-08-01T00:00:00"/>
    <s v="CUST-1031"/>
    <x v="2"/>
    <s v="SKU-1008"/>
    <s v="Keyboard"/>
    <s v="Electronics"/>
    <n v="3"/>
    <n v="3500"/>
    <n v="0.15"/>
    <s v="R006"/>
    <s v="Duplicate"/>
    <n v="8925"/>
    <s v="Duplicate"/>
    <s v="Vikram Nair"/>
    <x v="2"/>
  </r>
  <r>
    <s v="ORD-5180"/>
    <d v="2026-01-17T00:00:00"/>
    <s v="CUST-1015"/>
    <x v="2"/>
    <s v="SKU-1005"/>
    <s v="Notebook"/>
    <s v="Stationery"/>
    <n v="8"/>
    <n v="250"/>
    <n v="0.2"/>
    <s v="R004"/>
    <s v="Valid"/>
    <n v="1600"/>
    <s v="OK"/>
    <s v="Karan Mehta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O11" firstHeaderRow="1" firstDataRow="2" firstDataCol="1"/>
  <pivotFields count="16">
    <pivotField showAll="0"/>
    <pivotField showAll="0"/>
    <pivotField showAll="0"/>
    <pivotField axis="axisRow" showAll="0">
      <items count="7">
        <item x="1"/>
        <item x="2"/>
        <item x="0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3"/>
        <item x="9"/>
        <item x="8"/>
        <item x="1"/>
        <item x="5"/>
        <item x="4"/>
        <item x="10"/>
        <item x="2"/>
        <item x="12"/>
        <item x="11"/>
        <item x="6"/>
        <item x="0"/>
        <item x="7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Revenue" fld="12" baseField="0" baseItem="0" numFmtId="44"/>
  </dataFields>
  <formats count="9">
    <format dxfId="27">
      <pivotArea type="origin" dataOnly="0" labelOnly="1" outline="0" fieldPosition="0"/>
    </format>
    <format dxfId="28">
      <pivotArea field="15" type="button" dataOnly="0" labelOnly="1" outline="0" axis="axisCol" fieldPosition="0"/>
    </format>
    <format dxfId="29">
      <pivotArea field="3" type="button" dataOnly="0" labelOnly="1" outline="0" axis="axisRow" fieldPosition="0"/>
    </format>
    <format dxfId="30">
      <pivotArea dataOnly="0" labelOnly="1" fieldPosition="0">
        <references count="1">
          <reference field="15" count="0"/>
        </references>
      </pivotArea>
    </format>
    <format dxfId="31">
      <pivotArea dataOnly="0" labelOnly="1" grandCol="1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outline="0" collapsedLevelsAreSubtotals="1" fieldPosition="0"/>
    </format>
    <format dxfId="35">
      <pivotArea outline="0" collapsedLevelsAreSubtotals="1" fieldPosition="0"/>
    </format>
  </formats>
  <chartFormats count="3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A4" sqref="A4:H4"/>
    </sheetView>
  </sheetViews>
  <sheetFormatPr defaultRowHeight="15" x14ac:dyDescent="0.25"/>
  <cols>
    <col min="1" max="8" width="24" customWidth="1"/>
  </cols>
  <sheetData>
    <row r="1" spans="1:8" ht="30" customHeight="1" x14ac:dyDescent="0.25">
      <c r="A1" s="57" t="s">
        <v>14</v>
      </c>
      <c r="B1" s="52"/>
      <c r="C1" s="52"/>
      <c r="D1" s="52"/>
      <c r="E1" s="52"/>
      <c r="F1" s="52"/>
      <c r="G1" s="52"/>
      <c r="H1" s="52"/>
    </row>
    <row r="2" spans="1:8" x14ac:dyDescent="0.25">
      <c r="A2" s="52"/>
      <c r="B2" s="52"/>
      <c r="C2" s="52"/>
      <c r="D2" s="52"/>
      <c r="E2" s="52"/>
      <c r="F2" s="52"/>
      <c r="G2" s="52"/>
      <c r="H2" s="52"/>
    </row>
    <row r="3" spans="1:8" x14ac:dyDescent="0.25">
      <c r="A3" s="34"/>
      <c r="B3" s="34"/>
      <c r="C3" s="34"/>
      <c r="D3" s="34"/>
      <c r="E3" s="34"/>
      <c r="F3" s="34"/>
      <c r="G3" s="34"/>
      <c r="H3" s="34"/>
    </row>
    <row r="4" spans="1:8" ht="15.75" x14ac:dyDescent="0.25">
      <c r="A4" s="51" t="s">
        <v>15</v>
      </c>
      <c r="B4" s="52"/>
      <c r="C4" s="52"/>
      <c r="D4" s="52"/>
      <c r="E4" s="52"/>
      <c r="F4" s="52"/>
      <c r="G4" s="52"/>
      <c r="H4" s="52"/>
    </row>
    <row r="5" spans="1:8" ht="15.75" x14ac:dyDescent="0.25">
      <c r="A5" s="39"/>
      <c r="B5" s="34"/>
      <c r="C5" s="34"/>
      <c r="D5" s="34"/>
      <c r="E5" s="34"/>
      <c r="F5" s="34"/>
      <c r="G5" s="34"/>
      <c r="H5" s="34"/>
    </row>
    <row r="6" spans="1:8" x14ac:dyDescent="0.25">
      <c r="A6" s="55" t="s">
        <v>16</v>
      </c>
      <c r="B6" s="56"/>
      <c r="C6" s="56"/>
      <c r="D6" s="56"/>
      <c r="E6" s="56"/>
      <c r="F6" s="56"/>
      <c r="G6" s="56"/>
      <c r="H6" s="56"/>
    </row>
    <row r="7" spans="1:8" x14ac:dyDescent="0.25">
      <c r="A7" s="59" t="s">
        <v>17</v>
      </c>
      <c r="B7" s="60"/>
      <c r="C7" s="60"/>
      <c r="D7" s="60"/>
      <c r="E7" s="60"/>
      <c r="F7" s="60"/>
      <c r="G7" s="60"/>
      <c r="H7" s="60"/>
    </row>
    <row r="8" spans="1:8" x14ac:dyDescent="0.25">
      <c r="A8" s="60"/>
      <c r="B8" s="60"/>
      <c r="C8" s="60"/>
      <c r="D8" s="60"/>
      <c r="E8" s="60"/>
      <c r="F8" s="60"/>
      <c r="G8" s="60"/>
      <c r="H8" s="60"/>
    </row>
    <row r="9" spans="1:8" x14ac:dyDescent="0.25">
      <c r="A9" s="34"/>
      <c r="B9" s="34"/>
      <c r="C9" s="34"/>
      <c r="D9" s="34"/>
      <c r="E9" s="34"/>
      <c r="F9" s="34"/>
      <c r="G9" s="34"/>
      <c r="H9" s="34"/>
    </row>
    <row r="10" spans="1:8" ht="15.75" x14ac:dyDescent="0.25">
      <c r="A10" s="58" t="s">
        <v>18</v>
      </c>
      <c r="B10" s="52"/>
      <c r="C10" s="52"/>
      <c r="D10" s="52"/>
      <c r="E10" s="52"/>
      <c r="F10" s="52"/>
      <c r="G10" s="52"/>
      <c r="H10" s="52"/>
    </row>
    <row r="11" spans="1:8" ht="30" customHeight="1" x14ac:dyDescent="0.25">
      <c r="A11" s="59" t="s">
        <v>19</v>
      </c>
      <c r="B11" s="60"/>
      <c r="C11" s="60"/>
      <c r="D11" s="60"/>
      <c r="E11" s="60"/>
      <c r="F11" s="60"/>
      <c r="G11" s="60"/>
      <c r="H11" s="60"/>
    </row>
    <row r="12" spans="1:8" x14ac:dyDescent="0.25">
      <c r="A12" s="60"/>
      <c r="B12" s="60"/>
      <c r="C12" s="60"/>
      <c r="D12" s="60"/>
      <c r="E12" s="60"/>
      <c r="F12" s="60"/>
      <c r="G12" s="60"/>
      <c r="H12" s="60"/>
    </row>
    <row r="13" spans="1:8" x14ac:dyDescent="0.25">
      <c r="A13" s="60"/>
      <c r="B13" s="60"/>
      <c r="C13" s="60"/>
      <c r="D13" s="60"/>
      <c r="E13" s="60"/>
      <c r="F13" s="60"/>
      <c r="G13" s="60"/>
      <c r="H13" s="60"/>
    </row>
    <row r="14" spans="1:8" x14ac:dyDescent="0.25">
      <c r="A14" s="34"/>
      <c r="B14" s="34"/>
      <c r="C14" s="34"/>
      <c r="D14" s="34"/>
      <c r="E14" s="34"/>
      <c r="F14" s="34"/>
      <c r="G14" s="34"/>
      <c r="H14" s="34"/>
    </row>
    <row r="15" spans="1:8" ht="30" customHeight="1" x14ac:dyDescent="0.25">
      <c r="A15" s="54" t="s">
        <v>20</v>
      </c>
      <c r="B15" s="52"/>
      <c r="C15" s="52"/>
      <c r="D15" s="52"/>
      <c r="E15" s="52"/>
      <c r="F15" s="52"/>
      <c r="G15" s="52"/>
      <c r="H15" s="52"/>
    </row>
    <row r="16" spans="1:8" ht="30" customHeight="1" x14ac:dyDescent="0.25">
      <c r="A16" s="53" t="s">
        <v>21</v>
      </c>
      <c r="B16" s="53"/>
      <c r="C16" s="53"/>
      <c r="D16" s="53"/>
      <c r="E16" s="53"/>
      <c r="F16" s="53"/>
      <c r="G16" s="53"/>
      <c r="H16" s="53"/>
    </row>
    <row r="17" spans="1:8" ht="12.75" customHeight="1" x14ac:dyDescent="0.25">
      <c r="A17" s="40"/>
      <c r="B17" s="34"/>
      <c r="C17" s="34"/>
      <c r="D17" s="34"/>
      <c r="E17" s="34"/>
      <c r="F17" s="34"/>
      <c r="G17" s="34"/>
      <c r="H17" s="34"/>
    </row>
    <row r="18" spans="1:8" ht="30" customHeight="1" x14ac:dyDescent="0.25">
      <c r="A18" s="54" t="s">
        <v>22</v>
      </c>
      <c r="B18" s="52"/>
      <c r="C18" s="52"/>
      <c r="D18" s="52"/>
      <c r="E18" s="52"/>
      <c r="F18" s="52"/>
      <c r="G18" s="52"/>
      <c r="H18" s="52"/>
    </row>
    <row r="19" spans="1:8" x14ac:dyDescent="0.25">
      <c r="A19" s="59" t="s">
        <v>23</v>
      </c>
      <c r="B19" s="60"/>
      <c r="C19" s="60"/>
      <c r="D19" s="60"/>
      <c r="E19" s="60"/>
      <c r="F19" s="60"/>
      <c r="G19" s="60"/>
      <c r="H19" s="60"/>
    </row>
    <row r="20" spans="1:8" x14ac:dyDescent="0.25">
      <c r="A20" s="60"/>
      <c r="B20" s="60"/>
      <c r="C20" s="60"/>
      <c r="D20" s="60"/>
      <c r="E20" s="60"/>
      <c r="F20" s="60"/>
      <c r="G20" s="60"/>
      <c r="H20" s="60"/>
    </row>
    <row r="21" spans="1:8" ht="46.5" customHeight="1" x14ac:dyDescent="0.25">
      <c r="A21" s="60"/>
      <c r="B21" s="60"/>
      <c r="C21" s="60"/>
      <c r="D21" s="60"/>
      <c r="E21" s="60"/>
      <c r="F21" s="60"/>
      <c r="G21" s="60"/>
      <c r="H21" s="60"/>
    </row>
    <row r="22" spans="1:8" ht="12" customHeight="1" x14ac:dyDescent="0.25">
      <c r="A22" s="41"/>
      <c r="B22" s="38"/>
      <c r="C22" s="34"/>
      <c r="D22" s="34"/>
      <c r="E22" s="34"/>
      <c r="F22" s="34"/>
      <c r="G22" s="34"/>
      <c r="H22" s="34"/>
    </row>
    <row r="23" spans="1:8" ht="30" customHeight="1" x14ac:dyDescent="0.25">
      <c r="A23" s="54" t="s">
        <v>24</v>
      </c>
      <c r="B23" s="52"/>
      <c r="C23" s="52"/>
      <c r="D23" s="52"/>
      <c r="E23" s="52"/>
      <c r="F23" s="52"/>
      <c r="G23" s="52"/>
      <c r="H23" s="52"/>
    </row>
    <row r="24" spans="1:8" ht="30" customHeight="1" x14ac:dyDescent="0.25">
      <c r="A24" s="53" t="s">
        <v>25</v>
      </c>
      <c r="B24" s="60"/>
      <c r="C24" s="60"/>
      <c r="D24" s="60"/>
      <c r="E24" s="60"/>
      <c r="F24" s="60"/>
      <c r="G24" s="60"/>
      <c r="H24" s="60"/>
    </row>
    <row r="25" spans="1:8" x14ac:dyDescent="0.25">
      <c r="A25" s="60"/>
      <c r="B25" s="60"/>
      <c r="C25" s="60"/>
      <c r="D25" s="60"/>
      <c r="E25" s="60"/>
      <c r="F25" s="60"/>
      <c r="G25" s="60"/>
      <c r="H25" s="60"/>
    </row>
    <row r="27" spans="1:8" ht="30" customHeight="1" x14ac:dyDescent="0.25"/>
    <row r="28" spans="1:8" ht="30" customHeight="1" x14ac:dyDescent="0.25"/>
    <row r="29" spans="1:8" ht="30" customHeight="1" x14ac:dyDescent="0.25"/>
    <row r="30" spans="1:8" ht="30" customHeight="1" x14ac:dyDescent="0.25"/>
    <row r="33" spans="1:2" ht="30" customHeight="1" x14ac:dyDescent="0.25"/>
    <row r="34" spans="1:2" ht="30" customHeight="1" x14ac:dyDescent="0.25"/>
    <row r="35" spans="1:2" ht="30" customHeight="1" x14ac:dyDescent="0.25"/>
    <row r="41" spans="1:2" x14ac:dyDescent="0.25">
      <c r="A41" s="2"/>
      <c r="B41" s="1"/>
    </row>
    <row r="42" spans="1:2" x14ac:dyDescent="0.25">
      <c r="A42" s="2"/>
      <c r="B42" s="1"/>
    </row>
    <row r="43" spans="1:2" x14ac:dyDescent="0.25">
      <c r="A43" s="2"/>
      <c r="B43" s="1"/>
    </row>
  </sheetData>
  <mergeCells count="12">
    <mergeCell ref="A19:H21"/>
    <mergeCell ref="A24:H25"/>
    <mergeCell ref="A23:H23"/>
    <mergeCell ref="A18:H18"/>
    <mergeCell ref="A11:H13"/>
    <mergeCell ref="A4:H4"/>
    <mergeCell ref="A16:H16"/>
    <mergeCell ref="A15:H15"/>
    <mergeCell ref="A6:H6"/>
    <mergeCell ref="A1:H2"/>
    <mergeCell ref="A10:H10"/>
    <mergeCell ref="A7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6"/>
  <sheetViews>
    <sheetView workbookViewId="0">
      <pane ySplit="1" topLeftCell="A2" activePane="bottomLeft" state="frozen"/>
      <selection pane="bottomLeft" activeCell="A14" sqref="A14:XFD14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12.42578125" bestFit="1" customWidth="1"/>
    <col min="4" max="4" width="8.85546875" bestFit="1" customWidth="1"/>
    <col min="5" max="5" width="12.42578125" bestFit="1" customWidth="1"/>
    <col min="6" max="6" width="14.28515625" bestFit="1" customWidth="1"/>
    <col min="7" max="7" width="16.85546875" bestFit="1" customWidth="1"/>
    <col min="8" max="8" width="8.7109375" bestFit="1" customWidth="1"/>
    <col min="9" max="9" width="10.28515625" bestFit="1" customWidth="1"/>
    <col min="10" max="10" width="8.7109375" bestFit="1" customWidth="1"/>
    <col min="11" max="11" width="7.28515625" bestFit="1" customWidth="1"/>
  </cols>
  <sheetData>
    <row r="1" spans="1:11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 x14ac:dyDescent="0.25">
      <c r="A2" t="s">
        <v>37</v>
      </c>
      <c r="B2" s="4">
        <v>46010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5</v>
      </c>
      <c r="I2">
        <v>450</v>
      </c>
      <c r="J2">
        <v>0.2</v>
      </c>
      <c r="K2" t="s">
        <v>43</v>
      </c>
    </row>
    <row r="3" spans="1:11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>
        <v>7</v>
      </c>
      <c r="I3">
        <v>12000</v>
      </c>
      <c r="J3">
        <v>0.1</v>
      </c>
      <c r="K3" t="s">
        <v>51</v>
      </c>
    </row>
    <row r="4" spans="1:11" x14ac:dyDescent="0.25">
      <c r="A4" t="s">
        <v>52</v>
      </c>
      <c r="B4" s="4">
        <v>46128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>
        <v>12</v>
      </c>
      <c r="I4">
        <v>65000</v>
      </c>
      <c r="J4">
        <v>0.05</v>
      </c>
      <c r="K4" t="s">
        <v>51</v>
      </c>
    </row>
    <row r="5" spans="1:11" x14ac:dyDescent="0.25">
      <c r="A5" t="s">
        <v>58</v>
      </c>
      <c r="B5" t="s">
        <v>59</v>
      </c>
      <c r="C5" t="s">
        <v>60</v>
      </c>
      <c r="D5" t="s">
        <v>61</v>
      </c>
      <c r="E5" t="s">
        <v>40</v>
      </c>
      <c r="F5" t="s">
        <v>41</v>
      </c>
      <c r="G5" t="s">
        <v>42</v>
      </c>
      <c r="H5">
        <v>8</v>
      </c>
      <c r="I5">
        <v>450</v>
      </c>
      <c r="J5">
        <v>0.2</v>
      </c>
      <c r="K5" t="s">
        <v>51</v>
      </c>
    </row>
    <row r="6" spans="1:11" x14ac:dyDescent="0.25">
      <c r="A6" t="s">
        <v>62</v>
      </c>
      <c r="B6" t="s">
        <v>63</v>
      </c>
      <c r="C6" t="s">
        <v>64</v>
      </c>
      <c r="D6" t="s">
        <v>65</v>
      </c>
      <c r="E6" t="s">
        <v>40</v>
      </c>
      <c r="F6" t="s">
        <v>41</v>
      </c>
      <c r="G6" t="s">
        <v>42</v>
      </c>
      <c r="H6">
        <v>10</v>
      </c>
      <c r="I6">
        <v>450</v>
      </c>
      <c r="J6">
        <v>0.2</v>
      </c>
      <c r="K6" t="s">
        <v>51</v>
      </c>
    </row>
    <row r="7" spans="1:11" x14ac:dyDescent="0.25">
      <c r="A7" t="s">
        <v>66</v>
      </c>
      <c r="B7" t="s">
        <v>67</v>
      </c>
      <c r="C7" t="s">
        <v>68</v>
      </c>
      <c r="D7" t="s">
        <v>69</v>
      </c>
      <c r="E7" t="s">
        <v>48</v>
      </c>
      <c r="F7" t="s">
        <v>49</v>
      </c>
      <c r="G7" t="s">
        <v>50</v>
      </c>
      <c r="H7">
        <v>7</v>
      </c>
      <c r="I7">
        <v>12000</v>
      </c>
      <c r="J7">
        <v>0.15</v>
      </c>
      <c r="K7" t="s">
        <v>70</v>
      </c>
    </row>
    <row r="8" spans="1:11" x14ac:dyDescent="0.25">
      <c r="A8" t="s">
        <v>71</v>
      </c>
      <c r="B8" t="s">
        <v>72</v>
      </c>
      <c r="C8" t="s">
        <v>73</v>
      </c>
      <c r="D8" t="s">
        <v>61</v>
      </c>
      <c r="E8" t="s">
        <v>55</v>
      </c>
      <c r="F8" t="s">
        <v>56</v>
      </c>
      <c r="G8" t="s">
        <v>57</v>
      </c>
      <c r="H8">
        <v>6</v>
      </c>
      <c r="I8">
        <v>65000</v>
      </c>
      <c r="J8">
        <v>0.2</v>
      </c>
      <c r="K8" t="s">
        <v>74</v>
      </c>
    </row>
    <row r="9" spans="1:11" x14ac:dyDescent="0.25">
      <c r="A9" t="s">
        <v>75</v>
      </c>
      <c r="B9" s="4">
        <v>46036</v>
      </c>
      <c r="C9" t="s">
        <v>76</v>
      </c>
      <c r="D9" t="s">
        <v>5</v>
      </c>
      <c r="E9" t="s">
        <v>77</v>
      </c>
      <c r="F9" t="s">
        <v>78</v>
      </c>
      <c r="G9" t="s">
        <v>57</v>
      </c>
      <c r="H9">
        <v>12</v>
      </c>
      <c r="I9">
        <v>3500</v>
      </c>
      <c r="J9">
        <v>0.1</v>
      </c>
      <c r="K9" t="s">
        <v>79</v>
      </c>
    </row>
    <row r="10" spans="1:11" x14ac:dyDescent="0.25">
      <c r="A10" t="s">
        <v>80</v>
      </c>
      <c r="B10" t="s">
        <v>81</v>
      </c>
      <c r="C10" t="s">
        <v>82</v>
      </c>
      <c r="D10" t="s">
        <v>83</v>
      </c>
      <c r="E10" t="s">
        <v>55</v>
      </c>
      <c r="F10" t="s">
        <v>56</v>
      </c>
      <c r="G10" t="s">
        <v>57</v>
      </c>
      <c r="H10">
        <v>6</v>
      </c>
      <c r="I10">
        <v>65000</v>
      </c>
      <c r="J10">
        <v>0.2</v>
      </c>
      <c r="K10" t="s">
        <v>70</v>
      </c>
    </row>
    <row r="11" spans="1:11" x14ac:dyDescent="0.25">
      <c r="A11" t="s">
        <v>84</v>
      </c>
      <c r="B11" t="s">
        <v>85</v>
      </c>
      <c r="C11" t="s">
        <v>82</v>
      </c>
      <c r="D11" t="s">
        <v>86</v>
      </c>
      <c r="E11" t="s">
        <v>48</v>
      </c>
      <c r="F11" t="s">
        <v>49</v>
      </c>
      <c r="G11" t="s">
        <v>50</v>
      </c>
      <c r="H11">
        <v>12</v>
      </c>
      <c r="I11">
        <v>12000</v>
      </c>
      <c r="J11">
        <v>0.2</v>
      </c>
      <c r="K11" t="s">
        <v>43</v>
      </c>
    </row>
    <row r="12" spans="1:11" x14ac:dyDescent="0.25">
      <c r="A12" t="s">
        <v>87</v>
      </c>
      <c r="B12" s="4">
        <v>46010</v>
      </c>
      <c r="C12" t="s">
        <v>88</v>
      </c>
      <c r="D12" t="s">
        <v>39</v>
      </c>
      <c r="E12" t="s">
        <v>89</v>
      </c>
      <c r="F12" t="s">
        <v>90</v>
      </c>
      <c r="G12" t="s">
        <v>91</v>
      </c>
      <c r="H12">
        <v>12</v>
      </c>
      <c r="I12">
        <v>2200</v>
      </c>
      <c r="J12">
        <v>0</v>
      </c>
      <c r="K12" t="s">
        <v>79</v>
      </c>
    </row>
    <row r="13" spans="1:11" x14ac:dyDescent="0.25">
      <c r="A13" t="s">
        <v>92</v>
      </c>
      <c r="B13" s="4">
        <v>46014</v>
      </c>
      <c r="C13" t="s">
        <v>93</v>
      </c>
      <c r="D13" t="s">
        <v>94</v>
      </c>
      <c r="E13" t="s">
        <v>40</v>
      </c>
      <c r="F13" t="s">
        <v>41</v>
      </c>
      <c r="G13" t="s">
        <v>42</v>
      </c>
      <c r="H13">
        <v>12</v>
      </c>
      <c r="I13">
        <v>450</v>
      </c>
      <c r="J13">
        <v>0.2</v>
      </c>
      <c r="K13" t="s">
        <v>74</v>
      </c>
    </row>
    <row r="14" spans="1:11" x14ac:dyDescent="0.25">
      <c r="A14" t="s">
        <v>95</v>
      </c>
      <c r="B14" t="s">
        <v>96</v>
      </c>
      <c r="C14" t="s">
        <v>97</v>
      </c>
      <c r="E14" t="s">
        <v>98</v>
      </c>
      <c r="F14" t="s">
        <v>99</v>
      </c>
      <c r="G14" t="s">
        <v>50</v>
      </c>
      <c r="H14">
        <v>2</v>
      </c>
      <c r="I14">
        <v>28000</v>
      </c>
      <c r="K14" t="s">
        <v>43</v>
      </c>
    </row>
    <row r="15" spans="1:11" x14ac:dyDescent="0.25">
      <c r="A15" t="s">
        <v>100</v>
      </c>
      <c r="B15" s="4">
        <v>45965</v>
      </c>
      <c r="C15" t="s">
        <v>53</v>
      </c>
      <c r="D15" t="s">
        <v>101</v>
      </c>
      <c r="E15" t="s">
        <v>40</v>
      </c>
      <c r="F15" t="s">
        <v>41</v>
      </c>
      <c r="G15" t="s">
        <v>42</v>
      </c>
      <c r="H15">
        <v>1</v>
      </c>
      <c r="I15">
        <v>450</v>
      </c>
      <c r="J15">
        <v>0.25</v>
      </c>
      <c r="K15" t="s">
        <v>102</v>
      </c>
    </row>
    <row r="16" spans="1:11" x14ac:dyDescent="0.25">
      <c r="A16" t="s">
        <v>103</v>
      </c>
      <c r="B16" t="s">
        <v>104</v>
      </c>
      <c r="C16" t="s">
        <v>60</v>
      </c>
      <c r="D16" t="s">
        <v>105</v>
      </c>
      <c r="E16" t="s">
        <v>55</v>
      </c>
      <c r="F16" t="s">
        <v>56</v>
      </c>
      <c r="G16" t="s">
        <v>57</v>
      </c>
      <c r="H16">
        <v>2</v>
      </c>
      <c r="K16" t="s">
        <v>74</v>
      </c>
    </row>
    <row r="17" spans="1:11" x14ac:dyDescent="0.25">
      <c r="A17" t="s">
        <v>106</v>
      </c>
      <c r="B17" t="s">
        <v>107</v>
      </c>
      <c r="C17" t="s">
        <v>93</v>
      </c>
      <c r="D17" t="s">
        <v>54</v>
      </c>
      <c r="E17" t="s">
        <v>89</v>
      </c>
      <c r="F17" t="s">
        <v>90</v>
      </c>
      <c r="G17" t="s">
        <v>91</v>
      </c>
      <c r="H17">
        <v>1</v>
      </c>
      <c r="I17">
        <v>2200</v>
      </c>
      <c r="J17">
        <v>0.25</v>
      </c>
      <c r="K17" t="s">
        <v>70</v>
      </c>
    </row>
    <row r="18" spans="1:11" x14ac:dyDescent="0.25">
      <c r="A18" t="s">
        <v>108</v>
      </c>
      <c r="B18" s="4">
        <v>46096</v>
      </c>
      <c r="C18" t="s">
        <v>109</v>
      </c>
      <c r="D18" t="s">
        <v>110</v>
      </c>
      <c r="E18" t="s">
        <v>111</v>
      </c>
      <c r="F18" t="s">
        <v>112</v>
      </c>
      <c r="G18" t="s">
        <v>57</v>
      </c>
      <c r="H18">
        <v>10</v>
      </c>
      <c r="I18">
        <v>18000</v>
      </c>
      <c r="J18">
        <v>0.1</v>
      </c>
      <c r="K18" t="s">
        <v>51</v>
      </c>
    </row>
    <row r="19" spans="1:11" x14ac:dyDescent="0.25">
      <c r="A19" t="s">
        <v>113</v>
      </c>
      <c r="B19" s="4">
        <v>46014</v>
      </c>
      <c r="C19" t="s">
        <v>53</v>
      </c>
      <c r="D19" t="s">
        <v>114</v>
      </c>
      <c r="E19" t="s">
        <v>111</v>
      </c>
      <c r="F19" t="s">
        <v>112</v>
      </c>
      <c r="G19" t="s">
        <v>57</v>
      </c>
      <c r="H19">
        <v>3</v>
      </c>
      <c r="I19">
        <v>18000</v>
      </c>
      <c r="J19">
        <v>0.05</v>
      </c>
      <c r="K19" t="s">
        <v>102</v>
      </c>
    </row>
    <row r="20" spans="1:11" x14ac:dyDescent="0.25">
      <c r="A20" t="s">
        <v>115</v>
      </c>
      <c r="B20" s="4">
        <v>45984</v>
      </c>
      <c r="C20" t="s">
        <v>60</v>
      </c>
      <c r="D20" t="s">
        <v>110</v>
      </c>
      <c r="E20" t="s">
        <v>77</v>
      </c>
      <c r="F20" t="s">
        <v>78</v>
      </c>
      <c r="G20" t="s">
        <v>57</v>
      </c>
      <c r="H20">
        <v>10</v>
      </c>
      <c r="I20">
        <v>3500</v>
      </c>
      <c r="J20">
        <v>0</v>
      </c>
      <c r="K20" t="s">
        <v>51</v>
      </c>
    </row>
    <row r="21" spans="1:11" x14ac:dyDescent="0.25">
      <c r="A21" t="s">
        <v>116</v>
      </c>
      <c r="B21" t="s">
        <v>117</v>
      </c>
      <c r="C21" t="s">
        <v>93</v>
      </c>
      <c r="D21" t="s">
        <v>114</v>
      </c>
      <c r="E21" t="s">
        <v>55</v>
      </c>
      <c r="F21" t="s">
        <v>56</v>
      </c>
      <c r="G21" t="s">
        <v>57</v>
      </c>
      <c r="H21">
        <v>3</v>
      </c>
      <c r="I21">
        <v>65000</v>
      </c>
      <c r="J21">
        <v>0.15</v>
      </c>
      <c r="K21" t="s">
        <v>102</v>
      </c>
    </row>
    <row r="22" spans="1:11" x14ac:dyDescent="0.25">
      <c r="A22" t="s">
        <v>118</v>
      </c>
      <c r="B22" t="s">
        <v>119</v>
      </c>
      <c r="C22" t="s">
        <v>88</v>
      </c>
      <c r="D22" t="s">
        <v>105</v>
      </c>
      <c r="E22" t="s">
        <v>120</v>
      </c>
      <c r="F22" t="s">
        <v>121</v>
      </c>
      <c r="G22" t="s">
        <v>42</v>
      </c>
      <c r="H22">
        <v>12</v>
      </c>
      <c r="I22">
        <v>250</v>
      </c>
      <c r="J22">
        <v>0</v>
      </c>
      <c r="K22" t="s">
        <v>102</v>
      </c>
    </row>
    <row r="23" spans="1:11" x14ac:dyDescent="0.25">
      <c r="A23" t="s">
        <v>122</v>
      </c>
      <c r="B23" s="4">
        <v>45969</v>
      </c>
      <c r="C23" t="s">
        <v>123</v>
      </c>
      <c r="E23" t="s">
        <v>48</v>
      </c>
      <c r="F23" t="s">
        <v>49</v>
      </c>
      <c r="G23" t="s">
        <v>50</v>
      </c>
      <c r="H23">
        <v>3</v>
      </c>
      <c r="J23">
        <v>0.2</v>
      </c>
      <c r="K23" t="s">
        <v>70</v>
      </c>
    </row>
    <row r="24" spans="1:11" x14ac:dyDescent="0.25">
      <c r="A24" t="s">
        <v>124</v>
      </c>
      <c r="B24" t="s">
        <v>125</v>
      </c>
      <c r="C24" t="s">
        <v>126</v>
      </c>
      <c r="D24" t="s">
        <v>65</v>
      </c>
      <c r="E24" t="s">
        <v>127</v>
      </c>
      <c r="F24" t="s">
        <v>128</v>
      </c>
      <c r="G24" t="s">
        <v>57</v>
      </c>
      <c r="H24">
        <v>12</v>
      </c>
      <c r="I24">
        <v>4500</v>
      </c>
      <c r="J24">
        <v>0.25</v>
      </c>
      <c r="K24" t="s">
        <v>102</v>
      </c>
    </row>
    <row r="25" spans="1:11" x14ac:dyDescent="0.25">
      <c r="A25" t="s">
        <v>129</v>
      </c>
      <c r="B25" t="s">
        <v>130</v>
      </c>
      <c r="C25" t="s">
        <v>131</v>
      </c>
      <c r="D25" t="s">
        <v>65</v>
      </c>
      <c r="E25" t="s">
        <v>48</v>
      </c>
      <c r="F25" t="s">
        <v>49</v>
      </c>
      <c r="G25" t="s">
        <v>50</v>
      </c>
      <c r="H25">
        <v>12</v>
      </c>
      <c r="I25">
        <v>12000</v>
      </c>
      <c r="J25">
        <v>0.15</v>
      </c>
      <c r="K25" t="s">
        <v>79</v>
      </c>
    </row>
    <row r="26" spans="1:11" x14ac:dyDescent="0.25">
      <c r="A26" t="s">
        <v>132</v>
      </c>
      <c r="B26" t="s">
        <v>133</v>
      </c>
      <c r="C26" t="s">
        <v>134</v>
      </c>
      <c r="D26" t="s">
        <v>94</v>
      </c>
      <c r="E26" t="s">
        <v>135</v>
      </c>
      <c r="F26" t="s">
        <v>136</v>
      </c>
      <c r="G26" t="s">
        <v>50</v>
      </c>
      <c r="H26">
        <v>6</v>
      </c>
      <c r="I26">
        <v>9500</v>
      </c>
      <c r="J26">
        <v>0.15</v>
      </c>
      <c r="K26" t="s">
        <v>43</v>
      </c>
    </row>
    <row r="27" spans="1:11" x14ac:dyDescent="0.25">
      <c r="A27" t="s">
        <v>137</v>
      </c>
      <c r="B27" s="4">
        <v>46085</v>
      </c>
      <c r="C27" t="s">
        <v>138</v>
      </c>
      <c r="D27" t="s">
        <v>47</v>
      </c>
      <c r="E27" t="s">
        <v>135</v>
      </c>
      <c r="F27" t="s">
        <v>136</v>
      </c>
      <c r="G27" t="s">
        <v>50</v>
      </c>
      <c r="H27">
        <v>7</v>
      </c>
      <c r="I27">
        <v>9500</v>
      </c>
      <c r="K27" t="s">
        <v>70</v>
      </c>
    </row>
    <row r="28" spans="1:11" x14ac:dyDescent="0.25">
      <c r="A28" t="s">
        <v>139</v>
      </c>
      <c r="B28" s="4">
        <v>46063</v>
      </c>
      <c r="C28" t="s">
        <v>134</v>
      </c>
      <c r="D28" t="s">
        <v>54</v>
      </c>
      <c r="E28" t="s">
        <v>77</v>
      </c>
      <c r="F28" t="s">
        <v>78</v>
      </c>
      <c r="G28" t="s">
        <v>57</v>
      </c>
      <c r="H28">
        <v>2</v>
      </c>
      <c r="I28">
        <v>3500</v>
      </c>
      <c r="J28">
        <v>0.05</v>
      </c>
      <c r="K28" t="s">
        <v>102</v>
      </c>
    </row>
    <row r="29" spans="1:11" x14ac:dyDescent="0.25">
      <c r="A29" t="s">
        <v>140</v>
      </c>
      <c r="B29" t="s">
        <v>141</v>
      </c>
      <c r="C29" t="s">
        <v>126</v>
      </c>
      <c r="D29" t="s">
        <v>5</v>
      </c>
      <c r="E29" t="s">
        <v>89</v>
      </c>
      <c r="F29" t="s">
        <v>90</v>
      </c>
      <c r="G29" t="s">
        <v>91</v>
      </c>
      <c r="H29">
        <v>11</v>
      </c>
      <c r="I29">
        <v>2200</v>
      </c>
      <c r="J29">
        <v>0.2</v>
      </c>
      <c r="K29" t="s">
        <v>51</v>
      </c>
    </row>
    <row r="30" spans="1:11" x14ac:dyDescent="0.25">
      <c r="A30" t="s">
        <v>142</v>
      </c>
      <c r="B30" t="s">
        <v>143</v>
      </c>
      <c r="C30" t="s">
        <v>144</v>
      </c>
      <c r="D30" t="s">
        <v>145</v>
      </c>
      <c r="E30" t="s">
        <v>77</v>
      </c>
      <c r="F30" t="s">
        <v>78</v>
      </c>
      <c r="G30" t="s">
        <v>57</v>
      </c>
      <c r="H30">
        <v>4</v>
      </c>
      <c r="I30">
        <v>3500</v>
      </c>
      <c r="K30" t="s">
        <v>102</v>
      </c>
    </row>
    <row r="31" spans="1:11" x14ac:dyDescent="0.25">
      <c r="A31" t="s">
        <v>146</v>
      </c>
      <c r="B31" t="s">
        <v>147</v>
      </c>
      <c r="C31" t="s">
        <v>148</v>
      </c>
      <c r="D31" t="s">
        <v>39</v>
      </c>
      <c r="E31" t="s">
        <v>48</v>
      </c>
      <c r="F31" t="s">
        <v>49</v>
      </c>
      <c r="G31" t="s">
        <v>50</v>
      </c>
      <c r="H31">
        <v>9</v>
      </c>
      <c r="I31">
        <v>12000</v>
      </c>
      <c r="J31">
        <v>0</v>
      </c>
      <c r="K31" t="s">
        <v>43</v>
      </c>
    </row>
    <row r="32" spans="1:11" x14ac:dyDescent="0.25">
      <c r="A32" t="s">
        <v>149</v>
      </c>
      <c r="B32" t="s">
        <v>150</v>
      </c>
      <c r="C32" t="s">
        <v>151</v>
      </c>
      <c r="D32" t="s">
        <v>86</v>
      </c>
      <c r="E32" t="s">
        <v>40</v>
      </c>
      <c r="F32" t="s">
        <v>41</v>
      </c>
      <c r="G32" t="s">
        <v>42</v>
      </c>
      <c r="H32">
        <v>8</v>
      </c>
      <c r="I32">
        <v>450</v>
      </c>
      <c r="K32" t="s">
        <v>102</v>
      </c>
    </row>
    <row r="33" spans="1:11" x14ac:dyDescent="0.25">
      <c r="A33" t="s">
        <v>152</v>
      </c>
      <c r="B33" s="4">
        <v>45982</v>
      </c>
      <c r="C33" t="s">
        <v>134</v>
      </c>
      <c r="D33" t="s">
        <v>47</v>
      </c>
      <c r="E33" t="s">
        <v>120</v>
      </c>
      <c r="F33" t="s">
        <v>121</v>
      </c>
      <c r="G33" t="s">
        <v>42</v>
      </c>
      <c r="H33">
        <v>3</v>
      </c>
      <c r="I33">
        <v>250</v>
      </c>
      <c r="J33">
        <v>0</v>
      </c>
      <c r="K33" t="s">
        <v>70</v>
      </c>
    </row>
    <row r="34" spans="1:11" x14ac:dyDescent="0.25">
      <c r="A34" t="s">
        <v>153</v>
      </c>
      <c r="B34" t="s">
        <v>154</v>
      </c>
      <c r="C34" t="s">
        <v>123</v>
      </c>
      <c r="D34" t="s">
        <v>101</v>
      </c>
      <c r="E34" t="s">
        <v>40</v>
      </c>
      <c r="F34" t="s">
        <v>41</v>
      </c>
      <c r="G34" t="s">
        <v>42</v>
      </c>
      <c r="H34">
        <v>3</v>
      </c>
      <c r="J34">
        <v>0.1</v>
      </c>
      <c r="K34" t="s">
        <v>70</v>
      </c>
    </row>
    <row r="35" spans="1:11" x14ac:dyDescent="0.25">
      <c r="A35" t="s">
        <v>155</v>
      </c>
      <c r="B35" s="4">
        <v>46106</v>
      </c>
      <c r="C35" t="s">
        <v>156</v>
      </c>
      <c r="D35" t="s">
        <v>110</v>
      </c>
      <c r="E35" t="s">
        <v>127</v>
      </c>
      <c r="F35" t="s">
        <v>128</v>
      </c>
      <c r="G35" t="s">
        <v>57</v>
      </c>
      <c r="H35">
        <v>9</v>
      </c>
      <c r="I35">
        <v>4500</v>
      </c>
      <c r="J35">
        <v>0.1</v>
      </c>
      <c r="K35" t="s">
        <v>79</v>
      </c>
    </row>
    <row r="36" spans="1:11" x14ac:dyDescent="0.25">
      <c r="A36" t="s">
        <v>157</v>
      </c>
      <c r="B36" t="s">
        <v>158</v>
      </c>
      <c r="C36" t="s">
        <v>60</v>
      </c>
      <c r="D36" t="s">
        <v>110</v>
      </c>
      <c r="E36" t="s">
        <v>40</v>
      </c>
      <c r="F36" t="s">
        <v>41</v>
      </c>
      <c r="G36" t="s">
        <v>42</v>
      </c>
      <c r="H36">
        <v>2</v>
      </c>
      <c r="I36">
        <v>450</v>
      </c>
      <c r="J36">
        <v>0.15</v>
      </c>
      <c r="K36" t="s">
        <v>102</v>
      </c>
    </row>
    <row r="37" spans="1:11" x14ac:dyDescent="0.25">
      <c r="A37" t="s">
        <v>159</v>
      </c>
      <c r="B37" s="4">
        <v>45979</v>
      </c>
      <c r="C37" t="s">
        <v>160</v>
      </c>
      <c r="D37" t="s">
        <v>161</v>
      </c>
      <c r="E37" t="s">
        <v>127</v>
      </c>
      <c r="F37" t="s">
        <v>128</v>
      </c>
      <c r="G37" t="s">
        <v>57</v>
      </c>
      <c r="H37">
        <v>12</v>
      </c>
      <c r="I37">
        <v>4500</v>
      </c>
      <c r="J37">
        <v>0.15</v>
      </c>
      <c r="K37" t="s">
        <v>43</v>
      </c>
    </row>
    <row r="38" spans="1:11" x14ac:dyDescent="0.25">
      <c r="A38" t="s">
        <v>162</v>
      </c>
      <c r="B38" t="s">
        <v>163</v>
      </c>
      <c r="C38" t="s">
        <v>148</v>
      </c>
      <c r="D38" t="s">
        <v>145</v>
      </c>
      <c r="E38" t="s">
        <v>40</v>
      </c>
      <c r="F38" t="s">
        <v>41</v>
      </c>
      <c r="G38" t="s">
        <v>42</v>
      </c>
      <c r="H38">
        <v>9</v>
      </c>
      <c r="I38">
        <v>450</v>
      </c>
      <c r="J38">
        <v>0.2</v>
      </c>
      <c r="K38" t="s">
        <v>79</v>
      </c>
    </row>
    <row r="39" spans="1:11" x14ac:dyDescent="0.25">
      <c r="A39" t="s">
        <v>164</v>
      </c>
      <c r="B39" s="4">
        <v>45975</v>
      </c>
      <c r="C39" t="s">
        <v>165</v>
      </c>
      <c r="D39" t="s">
        <v>145</v>
      </c>
      <c r="E39" t="s">
        <v>127</v>
      </c>
      <c r="F39" t="s">
        <v>128</v>
      </c>
      <c r="G39" t="s">
        <v>57</v>
      </c>
      <c r="H39">
        <v>1</v>
      </c>
      <c r="I39">
        <v>4500</v>
      </c>
      <c r="J39">
        <v>0.1</v>
      </c>
      <c r="K39" t="s">
        <v>102</v>
      </c>
    </row>
    <row r="40" spans="1:11" x14ac:dyDescent="0.25">
      <c r="A40" t="s">
        <v>166</v>
      </c>
      <c r="B40" t="s">
        <v>167</v>
      </c>
      <c r="C40" t="s">
        <v>168</v>
      </c>
      <c r="D40" t="s">
        <v>83</v>
      </c>
      <c r="E40" t="s">
        <v>135</v>
      </c>
      <c r="F40" t="s">
        <v>136</v>
      </c>
      <c r="G40" t="s">
        <v>50</v>
      </c>
      <c r="H40">
        <v>7</v>
      </c>
      <c r="I40">
        <v>9500</v>
      </c>
      <c r="J40">
        <v>0.15</v>
      </c>
      <c r="K40" t="s">
        <v>74</v>
      </c>
    </row>
    <row r="41" spans="1:11" x14ac:dyDescent="0.25">
      <c r="A41" t="s">
        <v>169</v>
      </c>
      <c r="B41" t="s">
        <v>170</v>
      </c>
      <c r="C41" t="s">
        <v>93</v>
      </c>
      <c r="D41" t="s">
        <v>145</v>
      </c>
      <c r="E41" t="s">
        <v>120</v>
      </c>
      <c r="F41" t="s">
        <v>121</v>
      </c>
      <c r="G41" t="s">
        <v>42</v>
      </c>
      <c r="H41">
        <v>11</v>
      </c>
      <c r="I41">
        <v>250</v>
      </c>
      <c r="J41">
        <v>0.05</v>
      </c>
      <c r="K41" t="s">
        <v>79</v>
      </c>
    </row>
    <row r="42" spans="1:11" x14ac:dyDescent="0.25">
      <c r="A42" t="s">
        <v>171</v>
      </c>
      <c r="B42" t="s">
        <v>172</v>
      </c>
      <c r="C42" t="s">
        <v>68</v>
      </c>
      <c r="D42" t="s">
        <v>101</v>
      </c>
      <c r="E42" t="s">
        <v>89</v>
      </c>
      <c r="F42" t="s">
        <v>90</v>
      </c>
      <c r="G42" t="s">
        <v>91</v>
      </c>
      <c r="H42">
        <v>8</v>
      </c>
      <c r="I42">
        <v>2200</v>
      </c>
      <c r="J42">
        <v>0.25</v>
      </c>
      <c r="K42" t="s">
        <v>51</v>
      </c>
    </row>
    <row r="43" spans="1:11" x14ac:dyDescent="0.25">
      <c r="A43" t="s">
        <v>173</v>
      </c>
      <c r="B43" t="s">
        <v>174</v>
      </c>
      <c r="C43" t="s">
        <v>109</v>
      </c>
      <c r="D43" t="s">
        <v>5</v>
      </c>
      <c r="E43" t="s">
        <v>127</v>
      </c>
      <c r="F43" t="s">
        <v>128</v>
      </c>
      <c r="G43" t="s">
        <v>57</v>
      </c>
      <c r="H43">
        <v>4</v>
      </c>
      <c r="I43">
        <v>4500</v>
      </c>
      <c r="J43">
        <v>0.25</v>
      </c>
      <c r="K43" t="s">
        <v>43</v>
      </c>
    </row>
    <row r="44" spans="1:11" x14ac:dyDescent="0.25">
      <c r="A44" t="s">
        <v>175</v>
      </c>
      <c r="B44" t="s">
        <v>176</v>
      </c>
      <c r="C44" t="s">
        <v>76</v>
      </c>
      <c r="D44" t="s">
        <v>69</v>
      </c>
      <c r="E44" t="s">
        <v>98</v>
      </c>
      <c r="F44" t="s">
        <v>99</v>
      </c>
      <c r="G44" t="s">
        <v>50</v>
      </c>
      <c r="H44">
        <v>5</v>
      </c>
      <c r="I44">
        <v>28000</v>
      </c>
      <c r="J44">
        <v>0.25</v>
      </c>
      <c r="K44" t="s">
        <v>43</v>
      </c>
    </row>
    <row r="45" spans="1:11" x14ac:dyDescent="0.25">
      <c r="A45" t="s">
        <v>177</v>
      </c>
      <c r="B45" t="s">
        <v>147</v>
      </c>
      <c r="C45" t="s">
        <v>178</v>
      </c>
      <c r="D45" t="s">
        <v>65</v>
      </c>
      <c r="E45" t="s">
        <v>98</v>
      </c>
      <c r="F45" t="s">
        <v>99</v>
      </c>
      <c r="G45" t="s">
        <v>50</v>
      </c>
      <c r="H45">
        <v>7</v>
      </c>
      <c r="I45">
        <v>28000</v>
      </c>
      <c r="J45">
        <v>0.05</v>
      </c>
      <c r="K45" t="s">
        <v>51</v>
      </c>
    </row>
    <row r="46" spans="1:11" x14ac:dyDescent="0.25">
      <c r="A46" t="s">
        <v>179</v>
      </c>
      <c r="B46" t="s">
        <v>180</v>
      </c>
      <c r="C46" t="s">
        <v>181</v>
      </c>
      <c r="D46" t="s">
        <v>110</v>
      </c>
      <c r="E46" t="s">
        <v>77</v>
      </c>
      <c r="F46" t="s">
        <v>78</v>
      </c>
      <c r="G46" t="s">
        <v>57</v>
      </c>
      <c r="H46">
        <v>2</v>
      </c>
      <c r="I46">
        <v>3500</v>
      </c>
      <c r="J46">
        <v>0</v>
      </c>
      <c r="K46" t="s">
        <v>51</v>
      </c>
    </row>
    <row r="47" spans="1:11" x14ac:dyDescent="0.25">
      <c r="A47" t="s">
        <v>182</v>
      </c>
      <c r="B47" t="s">
        <v>183</v>
      </c>
      <c r="C47" t="s">
        <v>148</v>
      </c>
      <c r="D47" t="s">
        <v>69</v>
      </c>
      <c r="E47" t="s">
        <v>135</v>
      </c>
      <c r="F47" t="s">
        <v>136</v>
      </c>
      <c r="G47" t="s">
        <v>50</v>
      </c>
      <c r="H47">
        <v>12</v>
      </c>
      <c r="I47">
        <v>9500</v>
      </c>
      <c r="J47">
        <v>0.1</v>
      </c>
      <c r="K47" t="s">
        <v>43</v>
      </c>
    </row>
    <row r="48" spans="1:11" x14ac:dyDescent="0.25">
      <c r="A48" t="s">
        <v>184</v>
      </c>
      <c r="B48" t="s">
        <v>185</v>
      </c>
      <c r="C48" t="s">
        <v>165</v>
      </c>
      <c r="D48" t="s">
        <v>114</v>
      </c>
      <c r="E48" t="s">
        <v>40</v>
      </c>
      <c r="F48" t="s">
        <v>41</v>
      </c>
      <c r="G48" t="s">
        <v>42</v>
      </c>
      <c r="H48">
        <v>7</v>
      </c>
      <c r="I48">
        <v>450</v>
      </c>
      <c r="J48">
        <v>0.1</v>
      </c>
      <c r="K48" t="s">
        <v>51</v>
      </c>
    </row>
    <row r="49" spans="1:11" x14ac:dyDescent="0.25">
      <c r="A49" t="s">
        <v>186</v>
      </c>
      <c r="B49" s="4">
        <v>45992</v>
      </c>
      <c r="C49" t="s">
        <v>97</v>
      </c>
      <c r="D49" t="s">
        <v>105</v>
      </c>
      <c r="E49" t="s">
        <v>98</v>
      </c>
      <c r="F49" t="s">
        <v>99</v>
      </c>
      <c r="G49" t="s">
        <v>50</v>
      </c>
      <c r="H49">
        <v>4</v>
      </c>
      <c r="I49">
        <v>28000</v>
      </c>
      <c r="J49">
        <v>0.25</v>
      </c>
      <c r="K49" t="s">
        <v>51</v>
      </c>
    </row>
    <row r="50" spans="1:11" x14ac:dyDescent="0.25">
      <c r="A50" t="s">
        <v>187</v>
      </c>
      <c r="B50" t="s">
        <v>188</v>
      </c>
      <c r="C50" t="s">
        <v>189</v>
      </c>
      <c r="D50" t="s">
        <v>5</v>
      </c>
      <c r="E50" t="s">
        <v>98</v>
      </c>
      <c r="F50" t="s">
        <v>99</v>
      </c>
      <c r="G50" t="s">
        <v>50</v>
      </c>
      <c r="H50">
        <v>10</v>
      </c>
      <c r="I50">
        <v>28000</v>
      </c>
      <c r="J50">
        <v>0.25</v>
      </c>
      <c r="K50" t="s">
        <v>102</v>
      </c>
    </row>
    <row r="51" spans="1:11" x14ac:dyDescent="0.25">
      <c r="A51" t="s">
        <v>190</v>
      </c>
      <c r="B51" t="s">
        <v>191</v>
      </c>
      <c r="C51" t="s">
        <v>192</v>
      </c>
      <c r="D51" t="s">
        <v>193</v>
      </c>
      <c r="E51" t="s">
        <v>89</v>
      </c>
      <c r="F51" t="s">
        <v>90</v>
      </c>
      <c r="G51" t="s">
        <v>91</v>
      </c>
      <c r="H51">
        <v>3</v>
      </c>
      <c r="I51">
        <v>2200</v>
      </c>
      <c r="J51">
        <v>0.15</v>
      </c>
      <c r="K51" t="s">
        <v>79</v>
      </c>
    </row>
    <row r="52" spans="1:11" x14ac:dyDescent="0.25">
      <c r="A52" t="s">
        <v>194</v>
      </c>
      <c r="B52" t="s">
        <v>195</v>
      </c>
      <c r="C52" t="s">
        <v>168</v>
      </c>
      <c r="D52" t="s">
        <v>86</v>
      </c>
      <c r="E52" t="s">
        <v>135</v>
      </c>
      <c r="F52" t="s">
        <v>136</v>
      </c>
      <c r="G52" t="s">
        <v>50</v>
      </c>
      <c r="H52">
        <v>3</v>
      </c>
      <c r="I52">
        <v>9500</v>
      </c>
      <c r="J52">
        <v>0</v>
      </c>
      <c r="K52" t="s">
        <v>102</v>
      </c>
    </row>
    <row r="53" spans="1:11" x14ac:dyDescent="0.25">
      <c r="A53" t="s">
        <v>196</v>
      </c>
      <c r="B53" t="s">
        <v>197</v>
      </c>
      <c r="C53" t="s">
        <v>198</v>
      </c>
      <c r="D53" t="s">
        <v>193</v>
      </c>
      <c r="E53" t="s">
        <v>89</v>
      </c>
      <c r="F53" t="s">
        <v>90</v>
      </c>
      <c r="G53" t="s">
        <v>91</v>
      </c>
      <c r="H53">
        <v>9</v>
      </c>
      <c r="I53">
        <v>2200</v>
      </c>
      <c r="J53">
        <v>0</v>
      </c>
      <c r="K53" t="s">
        <v>43</v>
      </c>
    </row>
    <row r="54" spans="1:11" x14ac:dyDescent="0.25">
      <c r="A54" t="s">
        <v>199</v>
      </c>
      <c r="B54" t="s">
        <v>200</v>
      </c>
      <c r="C54" t="s">
        <v>126</v>
      </c>
      <c r="D54" t="s">
        <v>101</v>
      </c>
      <c r="E54" t="s">
        <v>55</v>
      </c>
      <c r="F54" t="s">
        <v>56</v>
      </c>
      <c r="G54" t="s">
        <v>57</v>
      </c>
      <c r="H54">
        <v>3</v>
      </c>
      <c r="I54">
        <v>65000</v>
      </c>
      <c r="J54">
        <v>0.1</v>
      </c>
      <c r="K54" t="s">
        <v>79</v>
      </c>
    </row>
    <row r="55" spans="1:11" x14ac:dyDescent="0.25">
      <c r="A55" t="s">
        <v>201</v>
      </c>
      <c r="B55" t="s">
        <v>202</v>
      </c>
      <c r="C55" t="s">
        <v>144</v>
      </c>
      <c r="D55" t="s">
        <v>61</v>
      </c>
      <c r="E55" t="s">
        <v>98</v>
      </c>
      <c r="F55" t="s">
        <v>99</v>
      </c>
      <c r="G55" t="s">
        <v>50</v>
      </c>
      <c r="H55">
        <v>8</v>
      </c>
      <c r="I55">
        <v>28000</v>
      </c>
      <c r="J55">
        <v>0.1</v>
      </c>
      <c r="K55" t="s">
        <v>79</v>
      </c>
    </row>
    <row r="56" spans="1:11" x14ac:dyDescent="0.25">
      <c r="A56" t="s">
        <v>203</v>
      </c>
      <c r="B56" t="s">
        <v>204</v>
      </c>
      <c r="C56" t="s">
        <v>123</v>
      </c>
      <c r="D56" t="s">
        <v>61</v>
      </c>
      <c r="E56" t="s">
        <v>135</v>
      </c>
      <c r="F56" t="s">
        <v>136</v>
      </c>
      <c r="G56" t="s">
        <v>50</v>
      </c>
      <c r="H56">
        <v>6</v>
      </c>
      <c r="I56">
        <v>9500</v>
      </c>
      <c r="K56" t="s">
        <v>43</v>
      </c>
    </row>
    <row r="57" spans="1:11" x14ac:dyDescent="0.25">
      <c r="A57" t="s">
        <v>205</v>
      </c>
      <c r="B57" t="s">
        <v>206</v>
      </c>
      <c r="C57" t="s">
        <v>109</v>
      </c>
      <c r="D57" t="s">
        <v>94</v>
      </c>
      <c r="E57" t="s">
        <v>127</v>
      </c>
      <c r="F57" t="s">
        <v>128</v>
      </c>
      <c r="G57" t="s">
        <v>57</v>
      </c>
      <c r="H57">
        <v>4</v>
      </c>
      <c r="I57">
        <v>4500</v>
      </c>
      <c r="J57">
        <v>0.25</v>
      </c>
      <c r="K57" t="s">
        <v>102</v>
      </c>
    </row>
    <row r="58" spans="1:11" x14ac:dyDescent="0.25">
      <c r="A58" t="s">
        <v>207</v>
      </c>
      <c r="B58" t="s">
        <v>208</v>
      </c>
      <c r="C58" t="s">
        <v>189</v>
      </c>
      <c r="D58" t="s">
        <v>209</v>
      </c>
      <c r="E58" t="s">
        <v>48</v>
      </c>
      <c r="F58" t="s">
        <v>49</v>
      </c>
      <c r="G58" t="s">
        <v>50</v>
      </c>
      <c r="H58">
        <v>4</v>
      </c>
      <c r="I58">
        <v>12000</v>
      </c>
      <c r="J58">
        <v>0</v>
      </c>
      <c r="K58" t="s">
        <v>43</v>
      </c>
    </row>
    <row r="59" spans="1:11" x14ac:dyDescent="0.25">
      <c r="A59" t="s">
        <v>210</v>
      </c>
      <c r="B59" t="s">
        <v>211</v>
      </c>
      <c r="C59" t="s">
        <v>156</v>
      </c>
      <c r="D59" t="s">
        <v>110</v>
      </c>
      <c r="E59" t="s">
        <v>111</v>
      </c>
      <c r="F59" t="s">
        <v>112</v>
      </c>
      <c r="G59" t="s">
        <v>57</v>
      </c>
      <c r="H59">
        <v>8</v>
      </c>
      <c r="I59">
        <v>18000</v>
      </c>
      <c r="J59">
        <v>0.2</v>
      </c>
      <c r="K59" t="s">
        <v>43</v>
      </c>
    </row>
    <row r="60" spans="1:11" x14ac:dyDescent="0.25">
      <c r="A60" t="s">
        <v>212</v>
      </c>
      <c r="B60" t="s">
        <v>213</v>
      </c>
      <c r="C60" t="s">
        <v>214</v>
      </c>
      <c r="D60" t="s">
        <v>61</v>
      </c>
      <c r="E60" t="s">
        <v>135</v>
      </c>
      <c r="F60" t="s">
        <v>136</v>
      </c>
      <c r="G60" t="s">
        <v>50</v>
      </c>
      <c r="H60">
        <v>12</v>
      </c>
      <c r="I60">
        <v>9500</v>
      </c>
      <c r="J60">
        <v>0</v>
      </c>
      <c r="K60" t="s">
        <v>79</v>
      </c>
    </row>
    <row r="61" spans="1:11" x14ac:dyDescent="0.25">
      <c r="A61" t="s">
        <v>215</v>
      </c>
      <c r="B61" t="s">
        <v>216</v>
      </c>
      <c r="C61" t="s">
        <v>217</v>
      </c>
      <c r="D61" t="s">
        <v>69</v>
      </c>
      <c r="E61" t="s">
        <v>77</v>
      </c>
      <c r="F61" t="s">
        <v>78</v>
      </c>
      <c r="G61" t="s">
        <v>57</v>
      </c>
      <c r="H61">
        <v>10</v>
      </c>
      <c r="I61">
        <v>3500</v>
      </c>
      <c r="J61">
        <v>0.25</v>
      </c>
      <c r="K61" t="s">
        <v>102</v>
      </c>
    </row>
    <row r="62" spans="1:11" x14ac:dyDescent="0.25">
      <c r="A62" t="s">
        <v>218</v>
      </c>
      <c r="B62" t="s">
        <v>219</v>
      </c>
      <c r="C62" t="s">
        <v>156</v>
      </c>
      <c r="D62" t="s">
        <v>161</v>
      </c>
      <c r="E62" t="s">
        <v>135</v>
      </c>
      <c r="F62" t="s">
        <v>136</v>
      </c>
      <c r="G62" t="s">
        <v>50</v>
      </c>
      <c r="H62">
        <v>7</v>
      </c>
      <c r="I62">
        <v>9500</v>
      </c>
      <c r="J62">
        <v>0.2</v>
      </c>
      <c r="K62" t="s">
        <v>79</v>
      </c>
    </row>
    <row r="63" spans="1:11" x14ac:dyDescent="0.25">
      <c r="A63" t="s">
        <v>220</v>
      </c>
      <c r="B63" t="s">
        <v>221</v>
      </c>
      <c r="C63" t="s">
        <v>148</v>
      </c>
      <c r="D63" t="s">
        <v>86</v>
      </c>
      <c r="E63" t="s">
        <v>77</v>
      </c>
      <c r="F63" t="s">
        <v>78</v>
      </c>
      <c r="G63" t="s">
        <v>57</v>
      </c>
      <c r="H63">
        <v>3</v>
      </c>
      <c r="I63">
        <v>3500</v>
      </c>
      <c r="J63">
        <v>0.15</v>
      </c>
      <c r="K63" t="s">
        <v>70</v>
      </c>
    </row>
    <row r="64" spans="1:11" x14ac:dyDescent="0.25">
      <c r="A64" t="s">
        <v>222</v>
      </c>
      <c r="B64" s="4">
        <v>45997</v>
      </c>
      <c r="C64" t="s">
        <v>160</v>
      </c>
      <c r="D64" t="s">
        <v>161</v>
      </c>
      <c r="E64" t="s">
        <v>48</v>
      </c>
      <c r="F64" t="s">
        <v>49</v>
      </c>
      <c r="G64" t="s">
        <v>50</v>
      </c>
      <c r="H64">
        <v>7</v>
      </c>
      <c r="I64">
        <v>12000</v>
      </c>
      <c r="J64" t="s">
        <v>223</v>
      </c>
      <c r="K64" t="s">
        <v>51</v>
      </c>
    </row>
    <row r="65" spans="1:11" x14ac:dyDescent="0.25">
      <c r="A65" t="s">
        <v>224</v>
      </c>
      <c r="B65" t="s">
        <v>225</v>
      </c>
      <c r="C65" t="s">
        <v>226</v>
      </c>
      <c r="D65" t="s">
        <v>114</v>
      </c>
      <c r="E65" t="s">
        <v>98</v>
      </c>
      <c r="F65" t="s">
        <v>99</v>
      </c>
      <c r="G65" t="s">
        <v>50</v>
      </c>
      <c r="H65">
        <v>4</v>
      </c>
      <c r="I65">
        <v>28000</v>
      </c>
      <c r="J65">
        <v>0.25</v>
      </c>
      <c r="K65" t="s">
        <v>102</v>
      </c>
    </row>
    <row r="66" spans="1:11" x14ac:dyDescent="0.25">
      <c r="A66" t="s">
        <v>227</v>
      </c>
      <c r="B66" s="4">
        <v>46015</v>
      </c>
      <c r="C66" t="s">
        <v>64</v>
      </c>
      <c r="D66" t="s">
        <v>105</v>
      </c>
      <c r="E66" t="s">
        <v>48</v>
      </c>
      <c r="F66" t="s">
        <v>49</v>
      </c>
      <c r="G66" t="s">
        <v>50</v>
      </c>
      <c r="H66">
        <v>9</v>
      </c>
      <c r="I66">
        <v>12000</v>
      </c>
      <c r="J66">
        <v>0.25</v>
      </c>
      <c r="K66" t="s">
        <v>74</v>
      </c>
    </row>
    <row r="67" spans="1:11" x14ac:dyDescent="0.25">
      <c r="A67" t="s">
        <v>228</v>
      </c>
      <c r="B67" t="s">
        <v>229</v>
      </c>
      <c r="C67" t="s">
        <v>230</v>
      </c>
      <c r="D67" t="s">
        <v>86</v>
      </c>
      <c r="E67" t="s">
        <v>40</v>
      </c>
      <c r="F67" t="s">
        <v>41</v>
      </c>
      <c r="G67" t="s">
        <v>42</v>
      </c>
      <c r="H67">
        <v>4</v>
      </c>
      <c r="I67">
        <v>450</v>
      </c>
      <c r="J67">
        <v>0.05</v>
      </c>
      <c r="K67" t="s">
        <v>102</v>
      </c>
    </row>
    <row r="68" spans="1:11" x14ac:dyDescent="0.25">
      <c r="A68" t="s">
        <v>231</v>
      </c>
      <c r="B68" t="s">
        <v>232</v>
      </c>
      <c r="C68" t="s">
        <v>131</v>
      </c>
      <c r="D68" t="s">
        <v>69</v>
      </c>
      <c r="E68" t="s">
        <v>89</v>
      </c>
      <c r="F68" t="s">
        <v>90</v>
      </c>
      <c r="G68" t="s">
        <v>91</v>
      </c>
      <c r="H68">
        <v>6</v>
      </c>
      <c r="I68">
        <v>2200</v>
      </c>
      <c r="J68">
        <v>0</v>
      </c>
      <c r="K68" t="s">
        <v>74</v>
      </c>
    </row>
    <row r="69" spans="1:11" x14ac:dyDescent="0.25">
      <c r="A69" t="s">
        <v>233</v>
      </c>
      <c r="B69" t="s">
        <v>234</v>
      </c>
      <c r="C69" t="s">
        <v>235</v>
      </c>
      <c r="D69" t="s">
        <v>110</v>
      </c>
      <c r="E69" t="s">
        <v>111</v>
      </c>
      <c r="F69" t="s">
        <v>112</v>
      </c>
      <c r="G69" t="s">
        <v>57</v>
      </c>
      <c r="H69">
        <v>12</v>
      </c>
      <c r="I69">
        <v>18000</v>
      </c>
      <c r="J69">
        <v>0.25</v>
      </c>
      <c r="K69" t="s">
        <v>79</v>
      </c>
    </row>
    <row r="70" spans="1:11" x14ac:dyDescent="0.25">
      <c r="A70" t="s">
        <v>236</v>
      </c>
      <c r="B70" s="4">
        <v>46137</v>
      </c>
      <c r="C70" t="s">
        <v>217</v>
      </c>
      <c r="D70" t="s">
        <v>110</v>
      </c>
      <c r="E70" t="s">
        <v>55</v>
      </c>
      <c r="F70" t="s">
        <v>56</v>
      </c>
      <c r="G70" t="s">
        <v>57</v>
      </c>
      <c r="H70">
        <v>6</v>
      </c>
      <c r="I70">
        <v>65000</v>
      </c>
      <c r="J70">
        <v>0.25</v>
      </c>
      <c r="K70" t="s">
        <v>70</v>
      </c>
    </row>
    <row r="71" spans="1:11" x14ac:dyDescent="0.25">
      <c r="A71" t="s">
        <v>237</v>
      </c>
      <c r="B71" t="s">
        <v>238</v>
      </c>
      <c r="C71" t="s">
        <v>68</v>
      </c>
      <c r="D71" t="s">
        <v>101</v>
      </c>
      <c r="E71" t="s">
        <v>135</v>
      </c>
      <c r="F71" t="s">
        <v>136</v>
      </c>
      <c r="G71" t="s">
        <v>50</v>
      </c>
      <c r="H71">
        <v>12</v>
      </c>
      <c r="I71">
        <v>9500</v>
      </c>
      <c r="J71">
        <v>0.1</v>
      </c>
      <c r="K71" t="s">
        <v>51</v>
      </c>
    </row>
    <row r="72" spans="1:11" x14ac:dyDescent="0.25">
      <c r="A72" t="s">
        <v>239</v>
      </c>
      <c r="B72" t="s">
        <v>240</v>
      </c>
      <c r="C72" t="s">
        <v>241</v>
      </c>
      <c r="D72" t="s">
        <v>193</v>
      </c>
      <c r="E72" t="s">
        <v>135</v>
      </c>
      <c r="F72" t="s">
        <v>136</v>
      </c>
      <c r="G72" t="s">
        <v>50</v>
      </c>
      <c r="H72">
        <v>6</v>
      </c>
      <c r="I72">
        <v>9500</v>
      </c>
      <c r="J72">
        <v>0.1</v>
      </c>
      <c r="K72" t="s">
        <v>43</v>
      </c>
    </row>
    <row r="73" spans="1:11" x14ac:dyDescent="0.25">
      <c r="A73" t="s">
        <v>242</v>
      </c>
      <c r="B73" s="4">
        <v>46004</v>
      </c>
      <c r="C73" t="s">
        <v>93</v>
      </c>
      <c r="D73" t="s">
        <v>101</v>
      </c>
      <c r="E73" t="s">
        <v>120</v>
      </c>
      <c r="F73" t="s">
        <v>121</v>
      </c>
      <c r="G73" t="s">
        <v>42</v>
      </c>
      <c r="H73">
        <v>8</v>
      </c>
      <c r="I73">
        <v>250</v>
      </c>
      <c r="J73">
        <v>0.15</v>
      </c>
      <c r="K73" t="s">
        <v>79</v>
      </c>
    </row>
    <row r="74" spans="1:11" x14ac:dyDescent="0.25">
      <c r="A74" t="s">
        <v>243</v>
      </c>
      <c r="B74" s="4">
        <v>46011</v>
      </c>
      <c r="C74" t="s">
        <v>76</v>
      </c>
      <c r="D74" t="s">
        <v>47</v>
      </c>
      <c r="E74" t="s">
        <v>48</v>
      </c>
      <c r="F74" t="s">
        <v>49</v>
      </c>
      <c r="G74" t="s">
        <v>50</v>
      </c>
      <c r="H74">
        <v>4</v>
      </c>
      <c r="I74">
        <v>12000</v>
      </c>
      <c r="J74">
        <v>0.25</v>
      </c>
      <c r="K74" t="s">
        <v>79</v>
      </c>
    </row>
    <row r="75" spans="1:11" x14ac:dyDescent="0.25">
      <c r="A75" t="s">
        <v>244</v>
      </c>
      <c r="B75" t="s">
        <v>245</v>
      </c>
      <c r="C75" t="s">
        <v>230</v>
      </c>
      <c r="D75" t="s">
        <v>47</v>
      </c>
      <c r="E75" t="s">
        <v>98</v>
      </c>
      <c r="F75" t="s">
        <v>99</v>
      </c>
      <c r="G75" t="s">
        <v>50</v>
      </c>
      <c r="H75">
        <v>10</v>
      </c>
      <c r="I75">
        <v>28000</v>
      </c>
      <c r="J75">
        <v>0.1</v>
      </c>
      <c r="K75" t="s">
        <v>102</v>
      </c>
    </row>
    <row r="76" spans="1:11" x14ac:dyDescent="0.25">
      <c r="A76" t="s">
        <v>246</v>
      </c>
      <c r="B76" t="s">
        <v>247</v>
      </c>
      <c r="C76" t="s">
        <v>214</v>
      </c>
      <c r="D76" t="s">
        <v>145</v>
      </c>
      <c r="E76" t="s">
        <v>48</v>
      </c>
      <c r="F76" t="s">
        <v>49</v>
      </c>
      <c r="G76" t="s">
        <v>50</v>
      </c>
      <c r="H76">
        <v>12</v>
      </c>
      <c r="I76">
        <v>12000</v>
      </c>
      <c r="J76">
        <v>0.05</v>
      </c>
      <c r="K76" t="s">
        <v>51</v>
      </c>
    </row>
    <row r="77" spans="1:11" x14ac:dyDescent="0.25">
      <c r="A77" t="s">
        <v>248</v>
      </c>
      <c r="B77" s="4">
        <v>46044</v>
      </c>
      <c r="C77" t="s">
        <v>217</v>
      </c>
      <c r="D77" t="s">
        <v>209</v>
      </c>
      <c r="E77" t="s">
        <v>89</v>
      </c>
      <c r="F77" t="s">
        <v>90</v>
      </c>
      <c r="G77" t="s">
        <v>91</v>
      </c>
      <c r="H77">
        <v>4</v>
      </c>
      <c r="I77">
        <v>2200</v>
      </c>
      <c r="J77">
        <v>0.1</v>
      </c>
      <c r="K77" t="s">
        <v>43</v>
      </c>
    </row>
    <row r="78" spans="1:11" x14ac:dyDescent="0.25">
      <c r="A78" t="s">
        <v>249</v>
      </c>
      <c r="B78" t="s">
        <v>250</v>
      </c>
      <c r="C78" t="s">
        <v>53</v>
      </c>
      <c r="D78" t="s">
        <v>209</v>
      </c>
      <c r="E78" t="s">
        <v>77</v>
      </c>
      <c r="F78" t="s">
        <v>78</v>
      </c>
      <c r="G78" t="s">
        <v>57</v>
      </c>
      <c r="H78">
        <v>9</v>
      </c>
      <c r="I78">
        <v>3500</v>
      </c>
      <c r="J78">
        <v>0.05</v>
      </c>
      <c r="K78" t="s">
        <v>102</v>
      </c>
    </row>
    <row r="79" spans="1:11" x14ac:dyDescent="0.25">
      <c r="A79" t="s">
        <v>251</v>
      </c>
      <c r="B79" t="s">
        <v>252</v>
      </c>
      <c r="C79" t="s">
        <v>226</v>
      </c>
      <c r="D79" t="s">
        <v>105</v>
      </c>
      <c r="E79" t="s">
        <v>48</v>
      </c>
      <c r="F79" t="s">
        <v>49</v>
      </c>
      <c r="G79" t="s">
        <v>50</v>
      </c>
      <c r="H79">
        <v>4</v>
      </c>
      <c r="I79">
        <v>12000</v>
      </c>
      <c r="J79">
        <v>0.1</v>
      </c>
      <c r="K79" t="s">
        <v>43</v>
      </c>
    </row>
    <row r="80" spans="1:11" x14ac:dyDescent="0.25">
      <c r="A80" t="s">
        <v>253</v>
      </c>
      <c r="B80" t="s">
        <v>254</v>
      </c>
      <c r="C80" t="s">
        <v>60</v>
      </c>
      <c r="D80" t="s">
        <v>209</v>
      </c>
      <c r="E80" t="s">
        <v>89</v>
      </c>
      <c r="F80" t="s">
        <v>90</v>
      </c>
      <c r="G80" t="s">
        <v>91</v>
      </c>
      <c r="H80">
        <v>1</v>
      </c>
      <c r="I80">
        <v>2200</v>
      </c>
      <c r="J80">
        <v>0.05</v>
      </c>
      <c r="K80" t="s">
        <v>102</v>
      </c>
    </row>
    <row r="81" spans="1:11" x14ac:dyDescent="0.25">
      <c r="A81" t="s">
        <v>255</v>
      </c>
      <c r="B81" t="s">
        <v>256</v>
      </c>
      <c r="C81" t="s">
        <v>144</v>
      </c>
      <c r="D81" t="s">
        <v>69</v>
      </c>
      <c r="E81" t="s">
        <v>127</v>
      </c>
      <c r="F81" t="s">
        <v>128</v>
      </c>
      <c r="G81" t="s">
        <v>57</v>
      </c>
      <c r="H81">
        <v>7</v>
      </c>
      <c r="J81">
        <v>0.25</v>
      </c>
      <c r="K81" t="s">
        <v>43</v>
      </c>
    </row>
    <row r="82" spans="1:11" x14ac:dyDescent="0.25">
      <c r="A82" t="s">
        <v>257</v>
      </c>
      <c r="B82" t="s">
        <v>258</v>
      </c>
      <c r="C82" t="s">
        <v>46</v>
      </c>
      <c r="D82" t="s">
        <v>161</v>
      </c>
      <c r="E82" t="s">
        <v>48</v>
      </c>
      <c r="F82" t="s">
        <v>49</v>
      </c>
      <c r="G82" t="s">
        <v>50</v>
      </c>
      <c r="H82">
        <v>11</v>
      </c>
      <c r="I82">
        <v>12000</v>
      </c>
      <c r="J82">
        <v>0.2</v>
      </c>
      <c r="K82" t="s">
        <v>79</v>
      </c>
    </row>
    <row r="83" spans="1:11" x14ac:dyDescent="0.25">
      <c r="A83" t="s">
        <v>259</v>
      </c>
      <c r="B83" s="4">
        <v>46107</v>
      </c>
      <c r="C83" t="s">
        <v>214</v>
      </c>
      <c r="D83" t="s">
        <v>47</v>
      </c>
      <c r="E83" t="s">
        <v>55</v>
      </c>
      <c r="F83" t="s">
        <v>56</v>
      </c>
      <c r="G83" t="s">
        <v>57</v>
      </c>
      <c r="H83">
        <v>5</v>
      </c>
      <c r="I83">
        <v>65000</v>
      </c>
      <c r="J83">
        <v>0.15</v>
      </c>
      <c r="K83" t="s">
        <v>43</v>
      </c>
    </row>
    <row r="84" spans="1:11" x14ac:dyDescent="0.25">
      <c r="A84" t="s">
        <v>260</v>
      </c>
      <c r="B84" t="s">
        <v>261</v>
      </c>
      <c r="C84" t="s">
        <v>262</v>
      </c>
      <c r="D84" t="s">
        <v>209</v>
      </c>
      <c r="E84" t="s">
        <v>120</v>
      </c>
      <c r="F84" t="s">
        <v>121</v>
      </c>
      <c r="G84" t="s">
        <v>42</v>
      </c>
      <c r="H84">
        <v>2</v>
      </c>
      <c r="I84">
        <v>250</v>
      </c>
      <c r="J84">
        <v>0.25</v>
      </c>
      <c r="K84" t="s">
        <v>102</v>
      </c>
    </row>
    <row r="85" spans="1:11" x14ac:dyDescent="0.25">
      <c r="A85" t="s">
        <v>263</v>
      </c>
      <c r="B85" s="4">
        <v>46130</v>
      </c>
      <c r="C85" t="s">
        <v>68</v>
      </c>
      <c r="D85" t="s">
        <v>5</v>
      </c>
      <c r="E85" t="s">
        <v>55</v>
      </c>
      <c r="F85" t="s">
        <v>56</v>
      </c>
      <c r="G85" t="s">
        <v>57</v>
      </c>
      <c r="H85">
        <v>8</v>
      </c>
      <c r="I85">
        <v>65000</v>
      </c>
      <c r="J85">
        <v>0</v>
      </c>
      <c r="K85" t="s">
        <v>70</v>
      </c>
    </row>
    <row r="86" spans="1:11" x14ac:dyDescent="0.25">
      <c r="A86" t="s">
        <v>264</v>
      </c>
      <c r="B86" t="s">
        <v>265</v>
      </c>
      <c r="C86" t="s">
        <v>189</v>
      </c>
      <c r="D86" t="s">
        <v>266</v>
      </c>
      <c r="E86" t="s">
        <v>77</v>
      </c>
      <c r="F86" t="s">
        <v>78</v>
      </c>
      <c r="G86" t="s">
        <v>57</v>
      </c>
      <c r="H86">
        <v>5</v>
      </c>
      <c r="I86">
        <v>3500</v>
      </c>
      <c r="J86">
        <v>0</v>
      </c>
      <c r="K86" t="s">
        <v>43</v>
      </c>
    </row>
    <row r="87" spans="1:11" x14ac:dyDescent="0.25">
      <c r="A87" t="s">
        <v>267</v>
      </c>
      <c r="B87" t="s">
        <v>268</v>
      </c>
      <c r="C87" t="s">
        <v>126</v>
      </c>
      <c r="D87" t="s">
        <v>94</v>
      </c>
      <c r="E87" t="s">
        <v>48</v>
      </c>
      <c r="F87" t="s">
        <v>49</v>
      </c>
      <c r="G87" t="s">
        <v>50</v>
      </c>
      <c r="H87">
        <v>9</v>
      </c>
      <c r="I87">
        <v>12000</v>
      </c>
      <c r="J87">
        <v>0.05</v>
      </c>
      <c r="K87" t="s">
        <v>74</v>
      </c>
    </row>
    <row r="88" spans="1:11" x14ac:dyDescent="0.25">
      <c r="A88" t="s">
        <v>269</v>
      </c>
      <c r="B88" t="s">
        <v>270</v>
      </c>
      <c r="C88" t="s">
        <v>181</v>
      </c>
      <c r="D88" t="s">
        <v>83</v>
      </c>
      <c r="E88" t="s">
        <v>48</v>
      </c>
      <c r="F88" t="s">
        <v>49</v>
      </c>
      <c r="G88" t="s">
        <v>50</v>
      </c>
      <c r="H88">
        <v>7</v>
      </c>
      <c r="I88">
        <v>12000</v>
      </c>
      <c r="J88">
        <v>0.2</v>
      </c>
      <c r="K88" t="s">
        <v>70</v>
      </c>
    </row>
    <row r="89" spans="1:11" x14ac:dyDescent="0.25">
      <c r="A89" t="s">
        <v>271</v>
      </c>
      <c r="B89" t="s">
        <v>272</v>
      </c>
      <c r="C89" t="s">
        <v>60</v>
      </c>
      <c r="D89" t="s">
        <v>47</v>
      </c>
      <c r="E89" t="s">
        <v>120</v>
      </c>
      <c r="F89" t="s">
        <v>121</v>
      </c>
      <c r="G89" t="s">
        <v>42</v>
      </c>
      <c r="H89">
        <v>10</v>
      </c>
      <c r="I89">
        <v>250</v>
      </c>
      <c r="J89">
        <v>0.25</v>
      </c>
      <c r="K89" t="s">
        <v>51</v>
      </c>
    </row>
    <row r="90" spans="1:11" x14ac:dyDescent="0.25">
      <c r="A90" t="s">
        <v>273</v>
      </c>
      <c r="B90" s="4">
        <v>46140</v>
      </c>
      <c r="C90" t="s">
        <v>131</v>
      </c>
      <c r="D90" t="s">
        <v>94</v>
      </c>
      <c r="E90" t="s">
        <v>98</v>
      </c>
      <c r="F90" t="s">
        <v>99</v>
      </c>
      <c r="G90" t="s">
        <v>50</v>
      </c>
      <c r="H90">
        <v>7</v>
      </c>
      <c r="I90">
        <v>28000</v>
      </c>
      <c r="J90">
        <v>0.1</v>
      </c>
      <c r="K90" t="s">
        <v>79</v>
      </c>
    </row>
    <row r="91" spans="1:11" x14ac:dyDescent="0.25">
      <c r="A91" t="s">
        <v>274</v>
      </c>
      <c r="B91" t="s">
        <v>275</v>
      </c>
      <c r="C91" t="s">
        <v>217</v>
      </c>
      <c r="D91" t="s">
        <v>266</v>
      </c>
      <c r="E91" t="s">
        <v>127</v>
      </c>
      <c r="F91" t="s">
        <v>128</v>
      </c>
      <c r="G91" t="s">
        <v>57</v>
      </c>
      <c r="H91">
        <v>3</v>
      </c>
      <c r="I91">
        <v>4500</v>
      </c>
      <c r="J91">
        <v>0.2</v>
      </c>
      <c r="K91" t="s">
        <v>102</v>
      </c>
    </row>
    <row r="92" spans="1:11" x14ac:dyDescent="0.25">
      <c r="A92" t="s">
        <v>276</v>
      </c>
      <c r="B92" t="s">
        <v>277</v>
      </c>
      <c r="C92" t="s">
        <v>53</v>
      </c>
      <c r="D92" t="s">
        <v>145</v>
      </c>
      <c r="E92" t="s">
        <v>111</v>
      </c>
      <c r="F92" t="s">
        <v>112</v>
      </c>
      <c r="G92" t="s">
        <v>57</v>
      </c>
      <c r="H92">
        <v>4</v>
      </c>
      <c r="I92">
        <v>18000</v>
      </c>
      <c r="J92">
        <v>0.2</v>
      </c>
      <c r="K92" t="s">
        <v>43</v>
      </c>
    </row>
    <row r="93" spans="1:11" x14ac:dyDescent="0.25">
      <c r="A93" t="s">
        <v>278</v>
      </c>
      <c r="B93" s="4">
        <v>46051</v>
      </c>
      <c r="C93" t="s">
        <v>82</v>
      </c>
      <c r="D93" t="s">
        <v>110</v>
      </c>
      <c r="E93" t="s">
        <v>55</v>
      </c>
      <c r="F93" t="s">
        <v>56</v>
      </c>
      <c r="G93" t="s">
        <v>57</v>
      </c>
      <c r="H93">
        <v>11</v>
      </c>
      <c r="I93">
        <v>65000</v>
      </c>
      <c r="J93">
        <v>0.15</v>
      </c>
      <c r="K93" t="s">
        <v>51</v>
      </c>
    </row>
    <row r="94" spans="1:11" x14ac:dyDescent="0.25">
      <c r="A94" t="s">
        <v>279</v>
      </c>
      <c r="B94" t="s">
        <v>280</v>
      </c>
      <c r="C94" t="s">
        <v>73</v>
      </c>
      <c r="D94" t="s">
        <v>94</v>
      </c>
      <c r="E94" t="s">
        <v>55</v>
      </c>
      <c r="F94" t="s">
        <v>56</v>
      </c>
      <c r="G94" t="s">
        <v>57</v>
      </c>
      <c r="H94">
        <v>8</v>
      </c>
      <c r="I94">
        <v>65000</v>
      </c>
      <c r="J94">
        <v>0.05</v>
      </c>
      <c r="K94" t="s">
        <v>79</v>
      </c>
    </row>
    <row r="95" spans="1:11" x14ac:dyDescent="0.25">
      <c r="A95" t="s">
        <v>281</v>
      </c>
      <c r="B95" t="s">
        <v>282</v>
      </c>
      <c r="C95" t="s">
        <v>156</v>
      </c>
      <c r="D95" t="s">
        <v>161</v>
      </c>
      <c r="E95" t="s">
        <v>89</v>
      </c>
      <c r="F95" t="s">
        <v>90</v>
      </c>
      <c r="G95" t="s">
        <v>91</v>
      </c>
      <c r="H95">
        <v>3</v>
      </c>
      <c r="I95">
        <v>2200</v>
      </c>
      <c r="J95">
        <v>0.25</v>
      </c>
      <c r="K95" t="s">
        <v>70</v>
      </c>
    </row>
    <row r="96" spans="1:11" x14ac:dyDescent="0.25">
      <c r="A96" t="s">
        <v>283</v>
      </c>
      <c r="B96" s="4">
        <v>46004</v>
      </c>
      <c r="C96" t="s">
        <v>226</v>
      </c>
      <c r="D96" t="s">
        <v>39</v>
      </c>
      <c r="E96" t="s">
        <v>40</v>
      </c>
      <c r="F96" t="s">
        <v>41</v>
      </c>
      <c r="G96" t="s">
        <v>42</v>
      </c>
      <c r="H96">
        <v>1</v>
      </c>
      <c r="I96">
        <v>450</v>
      </c>
      <c r="J96">
        <v>0</v>
      </c>
      <c r="K96" t="s">
        <v>79</v>
      </c>
    </row>
    <row r="97" spans="1:11" x14ac:dyDescent="0.25">
      <c r="A97" t="s">
        <v>284</v>
      </c>
      <c r="B97" t="s">
        <v>285</v>
      </c>
      <c r="C97" t="s">
        <v>198</v>
      </c>
      <c r="D97" t="s">
        <v>86</v>
      </c>
      <c r="E97" t="s">
        <v>127</v>
      </c>
      <c r="F97" t="s">
        <v>128</v>
      </c>
      <c r="G97" t="s">
        <v>57</v>
      </c>
      <c r="H97">
        <v>11</v>
      </c>
      <c r="I97">
        <v>4500</v>
      </c>
      <c r="J97">
        <v>0</v>
      </c>
      <c r="K97" t="s">
        <v>51</v>
      </c>
    </row>
    <row r="98" spans="1:11" x14ac:dyDescent="0.25">
      <c r="A98" t="s">
        <v>286</v>
      </c>
      <c r="B98" t="s">
        <v>287</v>
      </c>
      <c r="C98" t="s">
        <v>64</v>
      </c>
      <c r="D98" t="s">
        <v>47</v>
      </c>
      <c r="E98" t="s">
        <v>98</v>
      </c>
      <c r="F98" t="s">
        <v>99</v>
      </c>
      <c r="G98" t="s">
        <v>50</v>
      </c>
      <c r="H98">
        <v>9</v>
      </c>
      <c r="I98">
        <v>28000</v>
      </c>
      <c r="J98">
        <v>0.1</v>
      </c>
      <c r="K98" t="s">
        <v>51</v>
      </c>
    </row>
    <row r="99" spans="1:11" x14ac:dyDescent="0.25">
      <c r="A99" t="s">
        <v>288</v>
      </c>
      <c r="B99" s="4">
        <v>46071</v>
      </c>
      <c r="C99" t="s">
        <v>189</v>
      </c>
      <c r="D99" t="s">
        <v>61</v>
      </c>
      <c r="E99" t="s">
        <v>48</v>
      </c>
      <c r="F99" t="s">
        <v>49</v>
      </c>
      <c r="G99" t="s">
        <v>50</v>
      </c>
      <c r="H99">
        <v>11</v>
      </c>
      <c r="I99">
        <v>12000</v>
      </c>
      <c r="J99">
        <v>0.05</v>
      </c>
      <c r="K99" t="s">
        <v>43</v>
      </c>
    </row>
    <row r="100" spans="1:11" x14ac:dyDescent="0.25">
      <c r="A100" t="s">
        <v>289</v>
      </c>
      <c r="B100" t="s">
        <v>290</v>
      </c>
      <c r="C100" t="s">
        <v>230</v>
      </c>
      <c r="D100" t="s">
        <v>114</v>
      </c>
      <c r="E100" t="s">
        <v>55</v>
      </c>
      <c r="F100" t="s">
        <v>56</v>
      </c>
      <c r="G100" t="s">
        <v>57</v>
      </c>
      <c r="H100">
        <v>3</v>
      </c>
      <c r="I100">
        <v>65000</v>
      </c>
      <c r="K100" t="s">
        <v>51</v>
      </c>
    </row>
    <row r="101" spans="1:11" x14ac:dyDescent="0.25">
      <c r="A101" t="s">
        <v>291</v>
      </c>
      <c r="B101" t="s">
        <v>292</v>
      </c>
      <c r="C101" t="s">
        <v>151</v>
      </c>
      <c r="D101" t="s">
        <v>47</v>
      </c>
      <c r="E101" t="s">
        <v>111</v>
      </c>
      <c r="F101" t="s">
        <v>112</v>
      </c>
      <c r="G101" t="s">
        <v>57</v>
      </c>
      <c r="H101">
        <v>11</v>
      </c>
      <c r="I101">
        <v>18000</v>
      </c>
      <c r="J101">
        <v>0.25</v>
      </c>
      <c r="K101" t="s">
        <v>102</v>
      </c>
    </row>
    <row r="102" spans="1:11" x14ac:dyDescent="0.25">
      <c r="A102" t="s">
        <v>293</v>
      </c>
      <c r="B102" s="4">
        <v>46077</v>
      </c>
      <c r="C102" t="s">
        <v>226</v>
      </c>
      <c r="D102" t="s">
        <v>83</v>
      </c>
      <c r="E102" t="s">
        <v>55</v>
      </c>
      <c r="F102" t="s">
        <v>56</v>
      </c>
      <c r="G102" t="s">
        <v>57</v>
      </c>
      <c r="H102">
        <v>7</v>
      </c>
      <c r="I102">
        <v>65000</v>
      </c>
      <c r="J102">
        <v>0.15</v>
      </c>
      <c r="K102" t="s">
        <v>74</v>
      </c>
    </row>
    <row r="103" spans="1:11" x14ac:dyDescent="0.25">
      <c r="A103" t="s">
        <v>286</v>
      </c>
      <c r="B103" t="s">
        <v>287</v>
      </c>
      <c r="C103" t="s">
        <v>64</v>
      </c>
      <c r="D103" t="s">
        <v>47</v>
      </c>
      <c r="E103" t="s">
        <v>98</v>
      </c>
      <c r="F103" t="s">
        <v>99</v>
      </c>
      <c r="G103" t="s">
        <v>50</v>
      </c>
      <c r="H103">
        <v>9</v>
      </c>
      <c r="I103">
        <v>28000</v>
      </c>
      <c r="J103">
        <v>0.1</v>
      </c>
      <c r="K103" t="s">
        <v>51</v>
      </c>
    </row>
    <row r="104" spans="1:11" x14ac:dyDescent="0.25">
      <c r="A104" t="s">
        <v>294</v>
      </c>
      <c r="B104" t="s">
        <v>295</v>
      </c>
      <c r="C104" t="s">
        <v>262</v>
      </c>
      <c r="D104" t="s">
        <v>296</v>
      </c>
      <c r="E104" t="s">
        <v>89</v>
      </c>
      <c r="F104" t="s">
        <v>90</v>
      </c>
      <c r="G104" t="s">
        <v>91</v>
      </c>
      <c r="H104">
        <v>1</v>
      </c>
      <c r="I104">
        <v>2200</v>
      </c>
      <c r="J104">
        <v>0.2</v>
      </c>
      <c r="K104" t="s">
        <v>79</v>
      </c>
    </row>
    <row r="105" spans="1:11" x14ac:dyDescent="0.25">
      <c r="A105" t="s">
        <v>297</v>
      </c>
      <c r="B105" t="s">
        <v>298</v>
      </c>
      <c r="C105" t="s">
        <v>82</v>
      </c>
      <c r="D105" t="s">
        <v>54</v>
      </c>
      <c r="E105" t="s">
        <v>111</v>
      </c>
      <c r="F105" t="s">
        <v>112</v>
      </c>
      <c r="G105" t="s">
        <v>57</v>
      </c>
      <c r="H105">
        <v>5</v>
      </c>
      <c r="I105">
        <v>18000</v>
      </c>
      <c r="K105" t="s">
        <v>51</v>
      </c>
    </row>
    <row r="106" spans="1:11" x14ac:dyDescent="0.25">
      <c r="A106" t="s">
        <v>299</v>
      </c>
      <c r="B106" s="4">
        <v>46105</v>
      </c>
      <c r="C106" t="s">
        <v>64</v>
      </c>
      <c r="D106" t="s">
        <v>86</v>
      </c>
      <c r="E106" t="s">
        <v>55</v>
      </c>
      <c r="F106" t="s">
        <v>56</v>
      </c>
      <c r="G106" t="s">
        <v>57</v>
      </c>
      <c r="H106">
        <v>7</v>
      </c>
      <c r="J106">
        <v>0.15</v>
      </c>
      <c r="K106" t="s">
        <v>79</v>
      </c>
    </row>
    <row r="107" spans="1:11" x14ac:dyDescent="0.25">
      <c r="A107" t="s">
        <v>300</v>
      </c>
      <c r="B107" t="s">
        <v>301</v>
      </c>
      <c r="C107" t="s">
        <v>168</v>
      </c>
      <c r="D107" t="s">
        <v>94</v>
      </c>
      <c r="E107" t="s">
        <v>111</v>
      </c>
      <c r="F107" t="s">
        <v>112</v>
      </c>
      <c r="G107" t="s">
        <v>57</v>
      </c>
      <c r="H107">
        <v>8</v>
      </c>
      <c r="I107">
        <v>18000</v>
      </c>
      <c r="J107">
        <v>0.25</v>
      </c>
      <c r="K107" t="s">
        <v>43</v>
      </c>
    </row>
    <row r="108" spans="1:11" x14ac:dyDescent="0.25">
      <c r="A108" t="s">
        <v>302</v>
      </c>
      <c r="B108" t="s">
        <v>303</v>
      </c>
      <c r="C108" t="s">
        <v>304</v>
      </c>
      <c r="D108" t="s">
        <v>266</v>
      </c>
      <c r="E108" t="s">
        <v>111</v>
      </c>
      <c r="F108" t="s">
        <v>112</v>
      </c>
      <c r="G108" t="s">
        <v>57</v>
      </c>
      <c r="H108">
        <v>7</v>
      </c>
      <c r="I108">
        <v>18000</v>
      </c>
      <c r="J108">
        <v>0.05</v>
      </c>
      <c r="K108" t="s">
        <v>43</v>
      </c>
    </row>
    <row r="109" spans="1:11" x14ac:dyDescent="0.25">
      <c r="A109" t="s">
        <v>305</v>
      </c>
      <c r="B109" t="s">
        <v>306</v>
      </c>
      <c r="C109" t="s">
        <v>230</v>
      </c>
      <c r="D109" t="s">
        <v>105</v>
      </c>
      <c r="E109" t="s">
        <v>55</v>
      </c>
      <c r="F109" t="s">
        <v>56</v>
      </c>
      <c r="G109" t="s">
        <v>57</v>
      </c>
      <c r="H109">
        <v>10</v>
      </c>
      <c r="I109">
        <v>65000</v>
      </c>
      <c r="J109">
        <v>0.15</v>
      </c>
      <c r="K109" t="s">
        <v>51</v>
      </c>
    </row>
    <row r="110" spans="1:11" x14ac:dyDescent="0.25">
      <c r="A110" t="s">
        <v>307</v>
      </c>
      <c r="B110" t="s">
        <v>308</v>
      </c>
      <c r="C110" t="s">
        <v>46</v>
      </c>
      <c r="D110" t="s">
        <v>266</v>
      </c>
      <c r="E110" t="s">
        <v>135</v>
      </c>
      <c r="F110" t="s">
        <v>136</v>
      </c>
      <c r="G110" t="s">
        <v>50</v>
      </c>
      <c r="H110">
        <v>11</v>
      </c>
      <c r="I110">
        <v>9500</v>
      </c>
      <c r="J110">
        <v>0.15</v>
      </c>
      <c r="K110" t="s">
        <v>43</v>
      </c>
    </row>
    <row r="111" spans="1:11" x14ac:dyDescent="0.25">
      <c r="A111" t="s">
        <v>309</v>
      </c>
      <c r="B111" t="s">
        <v>310</v>
      </c>
      <c r="C111" t="s">
        <v>68</v>
      </c>
      <c r="D111" t="s">
        <v>69</v>
      </c>
      <c r="E111" t="s">
        <v>111</v>
      </c>
      <c r="F111" t="s">
        <v>112</v>
      </c>
      <c r="G111" t="s">
        <v>57</v>
      </c>
      <c r="H111">
        <v>2</v>
      </c>
      <c r="I111">
        <v>18000</v>
      </c>
      <c r="J111">
        <v>0.2</v>
      </c>
      <c r="K111" t="s">
        <v>102</v>
      </c>
    </row>
    <row r="112" spans="1:11" x14ac:dyDescent="0.25">
      <c r="A112" t="s">
        <v>311</v>
      </c>
      <c r="B112" t="s">
        <v>312</v>
      </c>
      <c r="C112" t="s">
        <v>53</v>
      </c>
      <c r="D112" t="s">
        <v>296</v>
      </c>
      <c r="E112" t="s">
        <v>40</v>
      </c>
      <c r="F112" t="s">
        <v>41</v>
      </c>
      <c r="G112" t="s">
        <v>42</v>
      </c>
      <c r="H112">
        <v>10</v>
      </c>
      <c r="I112">
        <v>450</v>
      </c>
      <c r="K112" t="s">
        <v>79</v>
      </c>
    </row>
    <row r="113" spans="1:11" x14ac:dyDescent="0.25">
      <c r="A113" t="s">
        <v>313</v>
      </c>
      <c r="B113" s="4">
        <v>46048</v>
      </c>
      <c r="C113" t="s">
        <v>314</v>
      </c>
      <c r="D113" t="s">
        <v>193</v>
      </c>
      <c r="E113" t="s">
        <v>48</v>
      </c>
      <c r="F113" t="s">
        <v>49</v>
      </c>
      <c r="G113" t="s">
        <v>50</v>
      </c>
      <c r="H113">
        <v>10</v>
      </c>
      <c r="I113">
        <v>12000</v>
      </c>
      <c r="J113">
        <v>0.25</v>
      </c>
      <c r="K113" t="s">
        <v>51</v>
      </c>
    </row>
    <row r="114" spans="1:11" x14ac:dyDescent="0.25">
      <c r="A114" t="s">
        <v>315</v>
      </c>
      <c r="B114" t="s">
        <v>316</v>
      </c>
      <c r="C114" t="s">
        <v>46</v>
      </c>
      <c r="D114" t="s">
        <v>94</v>
      </c>
      <c r="E114" t="s">
        <v>111</v>
      </c>
      <c r="F114" t="s">
        <v>112</v>
      </c>
      <c r="G114" t="s">
        <v>57</v>
      </c>
      <c r="H114">
        <v>11</v>
      </c>
      <c r="I114">
        <v>18000</v>
      </c>
      <c r="J114">
        <v>0.15</v>
      </c>
      <c r="K114" t="s">
        <v>51</v>
      </c>
    </row>
    <row r="115" spans="1:11" x14ac:dyDescent="0.25">
      <c r="A115" t="s">
        <v>317</v>
      </c>
      <c r="B115" t="s">
        <v>318</v>
      </c>
      <c r="C115" t="s">
        <v>168</v>
      </c>
      <c r="D115" t="s">
        <v>61</v>
      </c>
      <c r="E115" t="s">
        <v>120</v>
      </c>
      <c r="F115" t="s">
        <v>121</v>
      </c>
      <c r="G115" t="s">
        <v>42</v>
      </c>
      <c r="H115">
        <v>10</v>
      </c>
      <c r="I115">
        <v>250</v>
      </c>
      <c r="J115" t="s">
        <v>223</v>
      </c>
      <c r="K115" t="s">
        <v>51</v>
      </c>
    </row>
    <row r="116" spans="1:11" x14ac:dyDescent="0.25">
      <c r="A116" t="s">
        <v>319</v>
      </c>
      <c r="B116" t="s">
        <v>320</v>
      </c>
      <c r="C116" t="s">
        <v>165</v>
      </c>
      <c r="D116" t="s">
        <v>266</v>
      </c>
      <c r="E116" t="s">
        <v>111</v>
      </c>
      <c r="F116" t="s">
        <v>112</v>
      </c>
      <c r="G116" t="s">
        <v>57</v>
      </c>
      <c r="H116">
        <v>8</v>
      </c>
      <c r="I116">
        <v>18000</v>
      </c>
      <c r="J116">
        <v>0.15</v>
      </c>
      <c r="K116" t="s">
        <v>70</v>
      </c>
    </row>
    <row r="117" spans="1:11" x14ac:dyDescent="0.25">
      <c r="A117" t="s">
        <v>321</v>
      </c>
      <c r="B117" t="s">
        <v>322</v>
      </c>
      <c r="C117" t="s">
        <v>314</v>
      </c>
      <c r="D117" t="s">
        <v>86</v>
      </c>
      <c r="E117" t="s">
        <v>127</v>
      </c>
      <c r="F117" t="s">
        <v>128</v>
      </c>
      <c r="G117" t="s">
        <v>57</v>
      </c>
      <c r="H117">
        <v>3</v>
      </c>
      <c r="I117">
        <v>4500</v>
      </c>
      <c r="J117">
        <v>0</v>
      </c>
      <c r="K117" t="s">
        <v>79</v>
      </c>
    </row>
    <row r="118" spans="1:11" x14ac:dyDescent="0.25">
      <c r="A118" t="s">
        <v>323</v>
      </c>
      <c r="B118" s="4">
        <v>46007</v>
      </c>
      <c r="C118" t="s">
        <v>160</v>
      </c>
      <c r="D118" t="s">
        <v>47</v>
      </c>
      <c r="E118" t="s">
        <v>77</v>
      </c>
      <c r="F118" t="s">
        <v>78</v>
      </c>
      <c r="G118" t="s">
        <v>57</v>
      </c>
      <c r="H118">
        <v>8</v>
      </c>
      <c r="I118">
        <v>3500</v>
      </c>
      <c r="J118" t="s">
        <v>223</v>
      </c>
      <c r="K118" t="s">
        <v>74</v>
      </c>
    </row>
    <row r="119" spans="1:11" x14ac:dyDescent="0.25">
      <c r="A119" t="s">
        <v>324</v>
      </c>
      <c r="B119" s="4">
        <v>45962</v>
      </c>
      <c r="C119" t="s">
        <v>53</v>
      </c>
      <c r="D119" t="s">
        <v>101</v>
      </c>
      <c r="E119" t="s">
        <v>111</v>
      </c>
      <c r="F119" t="s">
        <v>112</v>
      </c>
      <c r="G119" t="s">
        <v>57</v>
      </c>
      <c r="H119">
        <v>3</v>
      </c>
      <c r="I119">
        <v>18000</v>
      </c>
      <c r="J119">
        <v>0.05</v>
      </c>
      <c r="K119" t="s">
        <v>79</v>
      </c>
    </row>
    <row r="120" spans="1:11" x14ac:dyDescent="0.25">
      <c r="A120" t="s">
        <v>324</v>
      </c>
      <c r="B120" s="4">
        <v>45962</v>
      </c>
      <c r="C120" t="s">
        <v>53</v>
      </c>
      <c r="D120" t="s">
        <v>101</v>
      </c>
      <c r="E120" t="s">
        <v>111</v>
      </c>
      <c r="F120" t="s">
        <v>112</v>
      </c>
      <c r="G120" t="s">
        <v>57</v>
      </c>
      <c r="H120">
        <v>3</v>
      </c>
      <c r="I120">
        <v>18000</v>
      </c>
      <c r="J120">
        <v>0.05</v>
      </c>
      <c r="K120" t="s">
        <v>79</v>
      </c>
    </row>
    <row r="121" spans="1:11" x14ac:dyDescent="0.25">
      <c r="A121" t="s">
        <v>325</v>
      </c>
      <c r="B121" t="s">
        <v>326</v>
      </c>
      <c r="C121" t="s">
        <v>68</v>
      </c>
      <c r="D121" t="s">
        <v>83</v>
      </c>
      <c r="E121" t="s">
        <v>89</v>
      </c>
      <c r="F121" t="s">
        <v>90</v>
      </c>
      <c r="G121" t="s">
        <v>91</v>
      </c>
      <c r="H121">
        <v>4</v>
      </c>
      <c r="I121">
        <v>2200</v>
      </c>
      <c r="J121">
        <v>0.1</v>
      </c>
      <c r="K121" t="s">
        <v>70</v>
      </c>
    </row>
    <row r="122" spans="1:11" x14ac:dyDescent="0.25">
      <c r="A122" t="s">
        <v>327</v>
      </c>
      <c r="B122" t="s">
        <v>328</v>
      </c>
      <c r="C122" t="s">
        <v>64</v>
      </c>
      <c r="D122" t="s">
        <v>94</v>
      </c>
      <c r="E122" t="s">
        <v>135</v>
      </c>
      <c r="F122" t="s">
        <v>136</v>
      </c>
      <c r="G122" t="s">
        <v>50</v>
      </c>
      <c r="H122">
        <v>1</v>
      </c>
      <c r="I122">
        <v>9500</v>
      </c>
      <c r="J122">
        <v>0</v>
      </c>
      <c r="K122" t="s">
        <v>74</v>
      </c>
    </row>
    <row r="123" spans="1:11" x14ac:dyDescent="0.25">
      <c r="A123" t="s">
        <v>329</v>
      </c>
      <c r="B123" t="s">
        <v>185</v>
      </c>
      <c r="C123" t="s">
        <v>38</v>
      </c>
      <c r="D123" t="s">
        <v>161</v>
      </c>
      <c r="E123" t="s">
        <v>111</v>
      </c>
      <c r="F123" t="s">
        <v>112</v>
      </c>
      <c r="G123" t="s">
        <v>57</v>
      </c>
      <c r="H123">
        <v>10</v>
      </c>
      <c r="I123">
        <v>18000</v>
      </c>
      <c r="J123">
        <v>0.1</v>
      </c>
      <c r="K123" t="s">
        <v>51</v>
      </c>
    </row>
    <row r="124" spans="1:11" x14ac:dyDescent="0.25">
      <c r="A124" t="s">
        <v>330</v>
      </c>
      <c r="B124" t="s">
        <v>331</v>
      </c>
      <c r="C124" t="s">
        <v>151</v>
      </c>
      <c r="D124" t="s">
        <v>110</v>
      </c>
      <c r="E124" t="s">
        <v>98</v>
      </c>
      <c r="F124" t="s">
        <v>99</v>
      </c>
      <c r="G124" t="s">
        <v>50</v>
      </c>
      <c r="H124">
        <v>3</v>
      </c>
      <c r="K124" t="s">
        <v>43</v>
      </c>
    </row>
    <row r="125" spans="1:11" x14ac:dyDescent="0.25">
      <c r="A125" t="s">
        <v>332</v>
      </c>
      <c r="B125" t="s">
        <v>333</v>
      </c>
      <c r="C125" t="s">
        <v>144</v>
      </c>
      <c r="D125" t="s">
        <v>39</v>
      </c>
      <c r="E125" t="s">
        <v>98</v>
      </c>
      <c r="F125" t="s">
        <v>99</v>
      </c>
      <c r="G125" t="s">
        <v>50</v>
      </c>
      <c r="H125">
        <v>9</v>
      </c>
      <c r="I125">
        <v>28000</v>
      </c>
      <c r="J125">
        <v>0.05</v>
      </c>
      <c r="K125" t="s">
        <v>74</v>
      </c>
    </row>
    <row r="126" spans="1:11" x14ac:dyDescent="0.25">
      <c r="A126" t="s">
        <v>334</v>
      </c>
      <c r="B126" t="s">
        <v>335</v>
      </c>
      <c r="C126" t="s">
        <v>168</v>
      </c>
      <c r="D126" t="s">
        <v>193</v>
      </c>
      <c r="E126" t="s">
        <v>98</v>
      </c>
      <c r="F126" t="s">
        <v>99</v>
      </c>
      <c r="G126" t="s">
        <v>50</v>
      </c>
      <c r="H126">
        <v>11</v>
      </c>
      <c r="I126">
        <v>28000</v>
      </c>
      <c r="J126">
        <v>0</v>
      </c>
      <c r="K126" t="s">
        <v>43</v>
      </c>
    </row>
    <row r="127" spans="1:11" x14ac:dyDescent="0.25">
      <c r="A127" t="s">
        <v>336</v>
      </c>
      <c r="B127" t="s">
        <v>337</v>
      </c>
      <c r="C127" t="s">
        <v>109</v>
      </c>
      <c r="D127" t="s">
        <v>69</v>
      </c>
      <c r="E127" t="s">
        <v>111</v>
      </c>
      <c r="F127" t="s">
        <v>112</v>
      </c>
      <c r="G127" t="s">
        <v>57</v>
      </c>
      <c r="H127">
        <v>3</v>
      </c>
      <c r="I127">
        <v>18000</v>
      </c>
      <c r="J127">
        <v>0.2</v>
      </c>
      <c r="K127" t="s">
        <v>51</v>
      </c>
    </row>
    <row r="128" spans="1:11" x14ac:dyDescent="0.25">
      <c r="A128" t="s">
        <v>338</v>
      </c>
      <c r="B128" t="s">
        <v>339</v>
      </c>
      <c r="C128" t="s">
        <v>181</v>
      </c>
      <c r="D128" t="s">
        <v>69</v>
      </c>
      <c r="E128" t="s">
        <v>135</v>
      </c>
      <c r="F128" t="s">
        <v>136</v>
      </c>
      <c r="G128" t="s">
        <v>50</v>
      </c>
      <c r="H128">
        <v>7</v>
      </c>
      <c r="I128">
        <v>9500</v>
      </c>
      <c r="J128" t="s">
        <v>223</v>
      </c>
      <c r="K128" t="s">
        <v>70</v>
      </c>
    </row>
    <row r="129" spans="1:11" x14ac:dyDescent="0.25">
      <c r="A129" t="s">
        <v>340</v>
      </c>
      <c r="B129" t="s">
        <v>341</v>
      </c>
      <c r="C129" t="s">
        <v>76</v>
      </c>
      <c r="D129" t="s">
        <v>209</v>
      </c>
      <c r="E129" t="s">
        <v>111</v>
      </c>
      <c r="F129" t="s">
        <v>112</v>
      </c>
      <c r="G129" t="s">
        <v>57</v>
      </c>
      <c r="H129">
        <v>8</v>
      </c>
      <c r="I129">
        <v>18000</v>
      </c>
      <c r="J129">
        <v>0</v>
      </c>
      <c r="K129" t="s">
        <v>74</v>
      </c>
    </row>
    <row r="130" spans="1:11" x14ac:dyDescent="0.25">
      <c r="A130" t="s">
        <v>342</v>
      </c>
      <c r="B130" t="s">
        <v>343</v>
      </c>
      <c r="C130" t="s">
        <v>123</v>
      </c>
      <c r="D130" t="s">
        <v>296</v>
      </c>
      <c r="E130" t="s">
        <v>48</v>
      </c>
      <c r="F130" t="s">
        <v>49</v>
      </c>
      <c r="G130" t="s">
        <v>50</v>
      </c>
      <c r="H130">
        <v>8</v>
      </c>
      <c r="I130">
        <v>12000</v>
      </c>
      <c r="J130" t="s">
        <v>223</v>
      </c>
      <c r="K130" t="s">
        <v>74</v>
      </c>
    </row>
    <row r="131" spans="1:11" x14ac:dyDescent="0.25">
      <c r="A131" t="s">
        <v>344</v>
      </c>
      <c r="B131" t="s">
        <v>345</v>
      </c>
      <c r="C131" t="s">
        <v>151</v>
      </c>
      <c r="D131" t="s">
        <v>145</v>
      </c>
      <c r="E131" t="s">
        <v>55</v>
      </c>
      <c r="F131" t="s">
        <v>56</v>
      </c>
      <c r="G131" t="s">
        <v>57</v>
      </c>
      <c r="H131">
        <v>2</v>
      </c>
      <c r="I131">
        <v>65000</v>
      </c>
      <c r="J131">
        <v>0.1</v>
      </c>
      <c r="K131" t="s">
        <v>79</v>
      </c>
    </row>
    <row r="132" spans="1:11" x14ac:dyDescent="0.25">
      <c r="A132" t="s">
        <v>346</v>
      </c>
      <c r="B132" s="4">
        <v>46020</v>
      </c>
      <c r="C132" t="s">
        <v>82</v>
      </c>
      <c r="D132" t="s">
        <v>193</v>
      </c>
      <c r="E132" t="s">
        <v>89</v>
      </c>
      <c r="F132" t="s">
        <v>90</v>
      </c>
      <c r="G132" t="s">
        <v>91</v>
      </c>
      <c r="H132">
        <v>5</v>
      </c>
      <c r="I132">
        <v>2200</v>
      </c>
      <c r="J132">
        <v>0.1</v>
      </c>
      <c r="K132" t="s">
        <v>70</v>
      </c>
    </row>
    <row r="133" spans="1:11" x14ac:dyDescent="0.25">
      <c r="A133" t="s">
        <v>347</v>
      </c>
      <c r="B133" t="s">
        <v>348</v>
      </c>
      <c r="C133" t="s">
        <v>148</v>
      </c>
      <c r="D133" t="s">
        <v>105</v>
      </c>
      <c r="E133" t="s">
        <v>135</v>
      </c>
      <c r="F133" t="s">
        <v>136</v>
      </c>
      <c r="G133" t="s">
        <v>50</v>
      </c>
      <c r="H133">
        <v>1</v>
      </c>
      <c r="I133">
        <v>9500</v>
      </c>
      <c r="J133">
        <v>0.15</v>
      </c>
      <c r="K133" t="s">
        <v>43</v>
      </c>
    </row>
    <row r="134" spans="1:11" x14ac:dyDescent="0.25">
      <c r="A134" t="s">
        <v>349</v>
      </c>
      <c r="B134" t="s">
        <v>350</v>
      </c>
      <c r="C134" t="s">
        <v>198</v>
      </c>
      <c r="D134" t="s">
        <v>145</v>
      </c>
      <c r="E134" t="s">
        <v>55</v>
      </c>
      <c r="F134" t="s">
        <v>56</v>
      </c>
      <c r="G134" t="s">
        <v>57</v>
      </c>
      <c r="H134">
        <v>11</v>
      </c>
      <c r="I134">
        <v>65000</v>
      </c>
      <c r="J134">
        <v>0.15</v>
      </c>
      <c r="K134" t="s">
        <v>102</v>
      </c>
    </row>
    <row r="135" spans="1:11" x14ac:dyDescent="0.25">
      <c r="A135" t="s">
        <v>351</v>
      </c>
      <c r="B135" t="s">
        <v>183</v>
      </c>
      <c r="C135" t="s">
        <v>109</v>
      </c>
      <c r="D135" t="s">
        <v>110</v>
      </c>
      <c r="E135" t="s">
        <v>77</v>
      </c>
      <c r="F135" t="s">
        <v>78</v>
      </c>
      <c r="G135" t="s">
        <v>57</v>
      </c>
      <c r="H135">
        <v>8</v>
      </c>
      <c r="I135">
        <v>3500</v>
      </c>
      <c r="J135">
        <v>0.15</v>
      </c>
      <c r="K135" t="s">
        <v>43</v>
      </c>
    </row>
    <row r="136" spans="1:11" x14ac:dyDescent="0.25">
      <c r="A136" t="s">
        <v>352</v>
      </c>
      <c r="B136" t="s">
        <v>353</v>
      </c>
      <c r="C136" t="s">
        <v>165</v>
      </c>
      <c r="D136" t="s">
        <v>114</v>
      </c>
      <c r="E136" t="s">
        <v>127</v>
      </c>
      <c r="F136" t="s">
        <v>128</v>
      </c>
      <c r="G136" t="s">
        <v>57</v>
      </c>
      <c r="H136">
        <v>2</v>
      </c>
      <c r="I136">
        <v>4500</v>
      </c>
      <c r="J136" t="s">
        <v>223</v>
      </c>
      <c r="K136" t="s">
        <v>74</v>
      </c>
    </row>
    <row r="137" spans="1:11" x14ac:dyDescent="0.25">
      <c r="A137" t="s">
        <v>354</v>
      </c>
      <c r="B137" t="s">
        <v>355</v>
      </c>
      <c r="C137" t="s">
        <v>38</v>
      </c>
      <c r="D137" t="s">
        <v>65</v>
      </c>
      <c r="E137" t="s">
        <v>55</v>
      </c>
      <c r="F137" t="s">
        <v>56</v>
      </c>
      <c r="G137" t="s">
        <v>57</v>
      </c>
      <c r="H137">
        <v>12</v>
      </c>
      <c r="I137">
        <v>65000</v>
      </c>
      <c r="J137">
        <v>0.15</v>
      </c>
      <c r="K137" t="s">
        <v>70</v>
      </c>
    </row>
    <row r="138" spans="1:11" x14ac:dyDescent="0.25">
      <c r="A138" t="s">
        <v>356</v>
      </c>
      <c r="B138" s="4">
        <v>46018</v>
      </c>
      <c r="C138" t="s">
        <v>178</v>
      </c>
      <c r="D138" t="s">
        <v>145</v>
      </c>
      <c r="E138" t="s">
        <v>55</v>
      </c>
      <c r="F138" t="s">
        <v>56</v>
      </c>
      <c r="G138" t="s">
        <v>57</v>
      </c>
      <c r="H138">
        <v>7</v>
      </c>
      <c r="I138">
        <v>65000</v>
      </c>
      <c r="J138">
        <v>0.1</v>
      </c>
      <c r="K138" t="s">
        <v>43</v>
      </c>
    </row>
    <row r="139" spans="1:11" x14ac:dyDescent="0.25">
      <c r="A139" t="s">
        <v>357</v>
      </c>
      <c r="B139" t="s">
        <v>358</v>
      </c>
      <c r="C139" t="s">
        <v>198</v>
      </c>
      <c r="D139" t="s">
        <v>54</v>
      </c>
      <c r="E139" t="s">
        <v>40</v>
      </c>
      <c r="F139" t="s">
        <v>41</v>
      </c>
      <c r="G139" t="s">
        <v>42</v>
      </c>
      <c r="H139">
        <v>6</v>
      </c>
      <c r="I139">
        <v>450</v>
      </c>
      <c r="J139">
        <v>0.25</v>
      </c>
      <c r="K139" t="s">
        <v>102</v>
      </c>
    </row>
    <row r="140" spans="1:11" x14ac:dyDescent="0.25">
      <c r="A140" t="s">
        <v>359</v>
      </c>
      <c r="B140" t="s">
        <v>360</v>
      </c>
      <c r="C140" t="s">
        <v>76</v>
      </c>
      <c r="D140" t="s">
        <v>161</v>
      </c>
      <c r="E140" t="s">
        <v>48</v>
      </c>
      <c r="F140" t="s">
        <v>49</v>
      </c>
      <c r="G140" t="s">
        <v>50</v>
      </c>
      <c r="H140">
        <v>12</v>
      </c>
      <c r="I140">
        <v>12000</v>
      </c>
      <c r="K140" t="s">
        <v>70</v>
      </c>
    </row>
    <row r="141" spans="1:11" x14ac:dyDescent="0.25">
      <c r="A141" t="s">
        <v>361</v>
      </c>
      <c r="B141" s="4">
        <v>46002</v>
      </c>
      <c r="C141" t="s">
        <v>131</v>
      </c>
      <c r="D141" t="s">
        <v>5</v>
      </c>
      <c r="E141" t="s">
        <v>135</v>
      </c>
      <c r="F141" t="s">
        <v>136</v>
      </c>
      <c r="G141" t="s">
        <v>50</v>
      </c>
      <c r="H141">
        <v>7</v>
      </c>
      <c r="I141">
        <v>9500</v>
      </c>
      <c r="J141">
        <v>0.2</v>
      </c>
      <c r="K141" t="s">
        <v>102</v>
      </c>
    </row>
    <row r="142" spans="1:11" x14ac:dyDescent="0.25">
      <c r="A142" t="s">
        <v>362</v>
      </c>
      <c r="B142" t="s">
        <v>363</v>
      </c>
      <c r="C142" t="s">
        <v>38</v>
      </c>
      <c r="D142" t="s">
        <v>69</v>
      </c>
      <c r="E142" t="s">
        <v>111</v>
      </c>
      <c r="F142" t="s">
        <v>112</v>
      </c>
      <c r="G142" t="s">
        <v>57</v>
      </c>
      <c r="H142">
        <v>7</v>
      </c>
      <c r="I142">
        <v>18000</v>
      </c>
      <c r="J142">
        <v>0.1</v>
      </c>
      <c r="K142" t="s">
        <v>43</v>
      </c>
    </row>
    <row r="143" spans="1:11" x14ac:dyDescent="0.25">
      <c r="A143" t="s">
        <v>364</v>
      </c>
      <c r="B143" t="s">
        <v>365</v>
      </c>
      <c r="C143" t="s">
        <v>217</v>
      </c>
      <c r="D143" t="s">
        <v>69</v>
      </c>
      <c r="E143" t="s">
        <v>89</v>
      </c>
      <c r="F143" t="s">
        <v>90</v>
      </c>
      <c r="G143" t="s">
        <v>91</v>
      </c>
      <c r="H143">
        <v>5</v>
      </c>
      <c r="I143">
        <v>2200</v>
      </c>
      <c r="K143" t="s">
        <v>70</v>
      </c>
    </row>
    <row r="144" spans="1:11" x14ac:dyDescent="0.25">
      <c r="A144" t="s">
        <v>342</v>
      </c>
      <c r="B144" t="s">
        <v>343</v>
      </c>
      <c r="C144" t="s">
        <v>123</v>
      </c>
      <c r="D144" t="s">
        <v>296</v>
      </c>
      <c r="E144" t="s">
        <v>48</v>
      </c>
      <c r="F144" t="s">
        <v>49</v>
      </c>
      <c r="G144" t="s">
        <v>50</v>
      </c>
      <c r="H144">
        <v>8</v>
      </c>
      <c r="I144">
        <v>12000</v>
      </c>
      <c r="J144" t="s">
        <v>223</v>
      </c>
      <c r="K144" t="s">
        <v>74</v>
      </c>
    </row>
    <row r="145" spans="1:11" x14ac:dyDescent="0.25">
      <c r="A145" t="s">
        <v>366</v>
      </c>
      <c r="B145" s="4">
        <v>46023</v>
      </c>
      <c r="C145" t="s">
        <v>304</v>
      </c>
      <c r="D145" t="s">
        <v>193</v>
      </c>
      <c r="E145" t="s">
        <v>40</v>
      </c>
      <c r="F145" t="s">
        <v>41</v>
      </c>
      <c r="G145" t="s">
        <v>42</v>
      </c>
      <c r="H145">
        <v>11</v>
      </c>
      <c r="I145">
        <v>450</v>
      </c>
      <c r="J145">
        <v>0.15</v>
      </c>
      <c r="K145" t="s">
        <v>43</v>
      </c>
    </row>
    <row r="146" spans="1:11" x14ac:dyDescent="0.25">
      <c r="A146" t="s">
        <v>367</v>
      </c>
      <c r="B146" s="4">
        <v>45970</v>
      </c>
      <c r="C146" t="s">
        <v>64</v>
      </c>
      <c r="D146" t="s">
        <v>266</v>
      </c>
      <c r="E146" t="s">
        <v>98</v>
      </c>
      <c r="F146" t="s">
        <v>99</v>
      </c>
      <c r="G146" t="s">
        <v>50</v>
      </c>
      <c r="H146">
        <v>5</v>
      </c>
      <c r="I146">
        <v>28000</v>
      </c>
      <c r="J146">
        <v>0</v>
      </c>
      <c r="K146" t="s">
        <v>79</v>
      </c>
    </row>
    <row r="147" spans="1:11" x14ac:dyDescent="0.25">
      <c r="A147" t="s">
        <v>368</v>
      </c>
      <c r="B147" t="s">
        <v>369</v>
      </c>
      <c r="C147" t="s">
        <v>178</v>
      </c>
      <c r="D147" t="s">
        <v>105</v>
      </c>
      <c r="E147" t="s">
        <v>127</v>
      </c>
      <c r="F147" t="s">
        <v>128</v>
      </c>
      <c r="G147" t="s">
        <v>57</v>
      </c>
      <c r="H147">
        <v>7</v>
      </c>
      <c r="I147">
        <v>4500</v>
      </c>
      <c r="J147">
        <v>0.25</v>
      </c>
      <c r="K147" t="s">
        <v>102</v>
      </c>
    </row>
    <row r="148" spans="1:11" x14ac:dyDescent="0.25">
      <c r="A148" t="s">
        <v>370</v>
      </c>
      <c r="B148" s="4">
        <v>46081</v>
      </c>
      <c r="C148" t="s">
        <v>165</v>
      </c>
      <c r="D148" t="s">
        <v>47</v>
      </c>
      <c r="E148" t="s">
        <v>89</v>
      </c>
      <c r="F148" t="s">
        <v>90</v>
      </c>
      <c r="G148" t="s">
        <v>91</v>
      </c>
      <c r="H148">
        <v>3</v>
      </c>
      <c r="I148">
        <v>2200</v>
      </c>
      <c r="J148">
        <v>0.05</v>
      </c>
      <c r="K148" t="s">
        <v>102</v>
      </c>
    </row>
    <row r="149" spans="1:11" x14ac:dyDescent="0.25">
      <c r="A149" t="s">
        <v>371</v>
      </c>
      <c r="B149" t="s">
        <v>372</v>
      </c>
      <c r="C149" t="s">
        <v>131</v>
      </c>
      <c r="D149" t="s">
        <v>161</v>
      </c>
      <c r="E149" t="s">
        <v>40</v>
      </c>
      <c r="F149" t="s">
        <v>41</v>
      </c>
      <c r="G149" t="s">
        <v>42</v>
      </c>
      <c r="H149">
        <v>12</v>
      </c>
      <c r="I149">
        <v>450</v>
      </c>
      <c r="K149" t="s">
        <v>70</v>
      </c>
    </row>
    <row r="150" spans="1:11" x14ac:dyDescent="0.25">
      <c r="A150" t="s">
        <v>373</v>
      </c>
      <c r="B150" t="s">
        <v>374</v>
      </c>
      <c r="C150" t="s">
        <v>93</v>
      </c>
      <c r="D150" t="s">
        <v>161</v>
      </c>
      <c r="E150" t="s">
        <v>77</v>
      </c>
      <c r="F150" t="s">
        <v>78</v>
      </c>
      <c r="G150" t="s">
        <v>57</v>
      </c>
      <c r="H150">
        <v>1</v>
      </c>
      <c r="I150">
        <v>3500</v>
      </c>
      <c r="J150">
        <v>0.15</v>
      </c>
      <c r="K150" t="s">
        <v>74</v>
      </c>
    </row>
    <row r="151" spans="1:11" x14ac:dyDescent="0.25">
      <c r="A151" t="s">
        <v>375</v>
      </c>
      <c r="B151" t="s">
        <v>376</v>
      </c>
      <c r="C151" t="s">
        <v>165</v>
      </c>
      <c r="D151" t="s">
        <v>65</v>
      </c>
      <c r="E151" t="s">
        <v>135</v>
      </c>
      <c r="F151" t="s">
        <v>136</v>
      </c>
      <c r="G151" t="s">
        <v>50</v>
      </c>
      <c r="H151">
        <v>9</v>
      </c>
      <c r="I151">
        <v>9500</v>
      </c>
      <c r="J151">
        <v>0.25</v>
      </c>
      <c r="K151" t="s">
        <v>70</v>
      </c>
    </row>
    <row r="152" spans="1:11" x14ac:dyDescent="0.25">
      <c r="A152" t="s">
        <v>377</v>
      </c>
      <c r="B152" t="s">
        <v>130</v>
      </c>
      <c r="C152" t="s">
        <v>314</v>
      </c>
      <c r="D152" t="s">
        <v>69</v>
      </c>
      <c r="E152" t="s">
        <v>77</v>
      </c>
      <c r="F152" t="s">
        <v>78</v>
      </c>
      <c r="G152" t="s">
        <v>57</v>
      </c>
      <c r="H152">
        <v>1</v>
      </c>
      <c r="I152">
        <v>3500</v>
      </c>
      <c r="J152">
        <v>0.25</v>
      </c>
      <c r="K152" t="s">
        <v>51</v>
      </c>
    </row>
    <row r="153" spans="1:11" x14ac:dyDescent="0.25">
      <c r="A153" t="s">
        <v>378</v>
      </c>
      <c r="B153" s="4">
        <v>46061</v>
      </c>
      <c r="C153" t="s">
        <v>68</v>
      </c>
      <c r="D153" t="s">
        <v>69</v>
      </c>
      <c r="E153" t="s">
        <v>111</v>
      </c>
      <c r="F153" t="s">
        <v>112</v>
      </c>
      <c r="G153" t="s">
        <v>57</v>
      </c>
      <c r="H153">
        <v>12</v>
      </c>
      <c r="I153">
        <v>18000</v>
      </c>
      <c r="J153">
        <v>0.2</v>
      </c>
      <c r="K153" t="s">
        <v>74</v>
      </c>
    </row>
    <row r="154" spans="1:11" x14ac:dyDescent="0.25">
      <c r="A154" t="s">
        <v>379</v>
      </c>
      <c r="B154" t="s">
        <v>380</v>
      </c>
      <c r="C154" t="s">
        <v>53</v>
      </c>
      <c r="D154" t="s">
        <v>69</v>
      </c>
      <c r="E154" t="s">
        <v>98</v>
      </c>
      <c r="F154" t="s">
        <v>99</v>
      </c>
      <c r="G154" t="s">
        <v>50</v>
      </c>
      <c r="H154">
        <v>12</v>
      </c>
      <c r="I154">
        <v>28000</v>
      </c>
      <c r="J154">
        <v>0.05</v>
      </c>
      <c r="K154" t="s">
        <v>43</v>
      </c>
    </row>
    <row r="155" spans="1:11" x14ac:dyDescent="0.25">
      <c r="A155" t="s">
        <v>381</v>
      </c>
      <c r="B155" t="s">
        <v>382</v>
      </c>
      <c r="C155" t="s">
        <v>60</v>
      </c>
      <c r="D155" t="s">
        <v>61</v>
      </c>
      <c r="E155" t="s">
        <v>135</v>
      </c>
      <c r="F155" t="s">
        <v>136</v>
      </c>
      <c r="G155" t="s">
        <v>50</v>
      </c>
      <c r="H155">
        <v>10</v>
      </c>
      <c r="I155">
        <v>9500</v>
      </c>
      <c r="J155">
        <v>0.05</v>
      </c>
      <c r="K155" t="s">
        <v>70</v>
      </c>
    </row>
    <row r="156" spans="1:11" x14ac:dyDescent="0.25">
      <c r="A156" t="s">
        <v>383</v>
      </c>
      <c r="B156" t="s">
        <v>384</v>
      </c>
      <c r="C156" t="s">
        <v>217</v>
      </c>
      <c r="D156" t="s">
        <v>86</v>
      </c>
      <c r="E156" t="s">
        <v>40</v>
      </c>
      <c r="F156" t="s">
        <v>41</v>
      </c>
      <c r="G156" t="s">
        <v>42</v>
      </c>
      <c r="H156">
        <v>2</v>
      </c>
      <c r="I156">
        <v>450</v>
      </c>
      <c r="J156">
        <v>0.2</v>
      </c>
      <c r="K156" t="s">
        <v>74</v>
      </c>
    </row>
    <row r="157" spans="1:11" x14ac:dyDescent="0.25">
      <c r="A157" t="s">
        <v>385</v>
      </c>
      <c r="B157" t="s">
        <v>386</v>
      </c>
      <c r="C157" t="s">
        <v>235</v>
      </c>
      <c r="D157" t="s">
        <v>65</v>
      </c>
      <c r="E157" t="s">
        <v>77</v>
      </c>
      <c r="F157" t="s">
        <v>78</v>
      </c>
      <c r="G157" t="s">
        <v>57</v>
      </c>
      <c r="H157">
        <v>2</v>
      </c>
      <c r="J157">
        <v>0.1</v>
      </c>
      <c r="K157" t="s">
        <v>70</v>
      </c>
    </row>
    <row r="158" spans="1:11" x14ac:dyDescent="0.25">
      <c r="A158" t="s">
        <v>387</v>
      </c>
      <c r="B158" t="s">
        <v>240</v>
      </c>
      <c r="C158" t="s">
        <v>144</v>
      </c>
      <c r="D158" t="s">
        <v>86</v>
      </c>
      <c r="E158" t="s">
        <v>89</v>
      </c>
      <c r="F158" t="s">
        <v>90</v>
      </c>
      <c r="G158" t="s">
        <v>91</v>
      </c>
      <c r="H158">
        <v>12</v>
      </c>
      <c r="J158">
        <v>0.25</v>
      </c>
      <c r="K158" t="s">
        <v>43</v>
      </c>
    </row>
    <row r="159" spans="1:11" x14ac:dyDescent="0.25">
      <c r="A159" t="s">
        <v>388</v>
      </c>
      <c r="B159" t="s">
        <v>389</v>
      </c>
      <c r="C159" t="s">
        <v>88</v>
      </c>
      <c r="D159" t="s">
        <v>61</v>
      </c>
      <c r="E159" t="s">
        <v>120</v>
      </c>
      <c r="F159" t="s">
        <v>121</v>
      </c>
      <c r="G159" t="s">
        <v>42</v>
      </c>
      <c r="H159">
        <v>6</v>
      </c>
      <c r="I159">
        <v>250</v>
      </c>
      <c r="J159">
        <v>0.25</v>
      </c>
      <c r="K159" t="s">
        <v>102</v>
      </c>
    </row>
    <row r="160" spans="1:11" x14ac:dyDescent="0.25">
      <c r="A160" t="s">
        <v>293</v>
      </c>
      <c r="B160" t="s">
        <v>318</v>
      </c>
      <c r="C160" t="s">
        <v>226</v>
      </c>
      <c r="D160" t="s">
        <v>83</v>
      </c>
      <c r="E160" t="s">
        <v>55</v>
      </c>
      <c r="F160" t="s">
        <v>56</v>
      </c>
      <c r="G160" t="s">
        <v>57</v>
      </c>
      <c r="H160">
        <v>7</v>
      </c>
      <c r="I160">
        <v>65000</v>
      </c>
      <c r="J160">
        <v>0.15</v>
      </c>
      <c r="K160" t="s">
        <v>74</v>
      </c>
    </row>
    <row r="161" spans="1:11" x14ac:dyDescent="0.25">
      <c r="A161" t="s">
        <v>390</v>
      </c>
      <c r="B161" t="s">
        <v>391</v>
      </c>
      <c r="C161" t="s">
        <v>304</v>
      </c>
      <c r="D161" t="s">
        <v>54</v>
      </c>
      <c r="E161" t="s">
        <v>98</v>
      </c>
      <c r="F161" t="s">
        <v>99</v>
      </c>
      <c r="G161" t="s">
        <v>50</v>
      </c>
      <c r="H161">
        <v>7</v>
      </c>
      <c r="I161">
        <v>28000</v>
      </c>
      <c r="J161">
        <v>0.15</v>
      </c>
      <c r="K161" t="s">
        <v>102</v>
      </c>
    </row>
    <row r="162" spans="1:11" x14ac:dyDescent="0.25">
      <c r="A162" t="s">
        <v>392</v>
      </c>
      <c r="B162" s="4">
        <v>45972</v>
      </c>
      <c r="C162" t="s">
        <v>97</v>
      </c>
      <c r="D162" t="s">
        <v>39</v>
      </c>
      <c r="E162" t="s">
        <v>40</v>
      </c>
      <c r="F162" t="s">
        <v>41</v>
      </c>
      <c r="G162" t="s">
        <v>42</v>
      </c>
      <c r="H162">
        <v>4</v>
      </c>
      <c r="I162">
        <v>450</v>
      </c>
      <c r="J162">
        <v>0.25</v>
      </c>
      <c r="K162" t="s">
        <v>43</v>
      </c>
    </row>
    <row r="163" spans="1:11" x14ac:dyDescent="0.25">
      <c r="A163" t="s">
        <v>393</v>
      </c>
      <c r="B163" t="s">
        <v>394</v>
      </c>
      <c r="C163" t="s">
        <v>53</v>
      </c>
      <c r="D163" t="s">
        <v>54</v>
      </c>
      <c r="E163" t="s">
        <v>48</v>
      </c>
      <c r="F163" t="s">
        <v>49</v>
      </c>
      <c r="G163" t="s">
        <v>50</v>
      </c>
      <c r="H163">
        <v>5</v>
      </c>
      <c r="I163">
        <v>12000</v>
      </c>
      <c r="J163">
        <v>0.05</v>
      </c>
      <c r="K163" t="s">
        <v>74</v>
      </c>
    </row>
    <row r="164" spans="1:11" x14ac:dyDescent="0.25">
      <c r="A164" t="s">
        <v>244</v>
      </c>
      <c r="B164" t="s">
        <v>318</v>
      </c>
      <c r="C164" t="s">
        <v>230</v>
      </c>
      <c r="D164" t="s">
        <v>47</v>
      </c>
      <c r="E164" t="s">
        <v>98</v>
      </c>
      <c r="F164" t="s">
        <v>99</v>
      </c>
      <c r="G164" t="s">
        <v>50</v>
      </c>
      <c r="H164">
        <v>10</v>
      </c>
      <c r="I164">
        <v>28000</v>
      </c>
      <c r="J164">
        <v>0.1</v>
      </c>
      <c r="K164" t="s">
        <v>102</v>
      </c>
    </row>
    <row r="165" spans="1:11" x14ac:dyDescent="0.25">
      <c r="A165" t="s">
        <v>395</v>
      </c>
      <c r="B165" s="4">
        <v>45973</v>
      </c>
      <c r="C165" t="s">
        <v>88</v>
      </c>
      <c r="D165" t="s">
        <v>101</v>
      </c>
      <c r="E165" t="s">
        <v>111</v>
      </c>
      <c r="F165" t="s">
        <v>112</v>
      </c>
      <c r="G165" t="s">
        <v>57</v>
      </c>
      <c r="H165">
        <v>10</v>
      </c>
      <c r="I165">
        <v>18000</v>
      </c>
      <c r="J165">
        <v>0.15</v>
      </c>
      <c r="K165" t="s">
        <v>70</v>
      </c>
    </row>
    <row r="166" spans="1:11" x14ac:dyDescent="0.25">
      <c r="A166" t="s">
        <v>396</v>
      </c>
      <c r="B166" t="s">
        <v>397</v>
      </c>
      <c r="C166" t="s">
        <v>53</v>
      </c>
      <c r="D166" t="s">
        <v>39</v>
      </c>
      <c r="E166" t="s">
        <v>135</v>
      </c>
      <c r="F166" t="s">
        <v>136</v>
      </c>
      <c r="G166" t="s">
        <v>50</v>
      </c>
      <c r="H166">
        <v>4</v>
      </c>
      <c r="I166">
        <v>9500</v>
      </c>
      <c r="J166">
        <v>0.2</v>
      </c>
      <c r="K166" t="s">
        <v>102</v>
      </c>
    </row>
    <row r="167" spans="1:11" x14ac:dyDescent="0.25">
      <c r="A167" t="s">
        <v>398</v>
      </c>
      <c r="B167" t="s">
        <v>399</v>
      </c>
      <c r="C167" t="s">
        <v>138</v>
      </c>
      <c r="D167" t="s">
        <v>209</v>
      </c>
      <c r="E167" t="s">
        <v>89</v>
      </c>
      <c r="F167" t="s">
        <v>90</v>
      </c>
      <c r="G167" t="s">
        <v>91</v>
      </c>
      <c r="H167">
        <v>11</v>
      </c>
      <c r="I167">
        <v>2200</v>
      </c>
      <c r="J167">
        <v>0.2</v>
      </c>
      <c r="K167" t="s">
        <v>74</v>
      </c>
    </row>
    <row r="168" spans="1:11" x14ac:dyDescent="0.25">
      <c r="A168" t="s">
        <v>215</v>
      </c>
      <c r="B168" t="s">
        <v>216</v>
      </c>
      <c r="C168" t="s">
        <v>217</v>
      </c>
      <c r="D168" t="s">
        <v>69</v>
      </c>
      <c r="E168" t="s">
        <v>77</v>
      </c>
      <c r="F168" t="s">
        <v>78</v>
      </c>
      <c r="G168" t="s">
        <v>57</v>
      </c>
      <c r="H168">
        <v>10</v>
      </c>
      <c r="I168">
        <v>3500</v>
      </c>
      <c r="J168">
        <v>0.25</v>
      </c>
      <c r="K168" t="s">
        <v>102</v>
      </c>
    </row>
    <row r="169" spans="1:11" x14ac:dyDescent="0.25">
      <c r="A169" t="s">
        <v>400</v>
      </c>
      <c r="B169" t="s">
        <v>401</v>
      </c>
      <c r="C169" t="s">
        <v>93</v>
      </c>
      <c r="D169" t="s">
        <v>266</v>
      </c>
      <c r="E169" t="s">
        <v>120</v>
      </c>
      <c r="F169" t="s">
        <v>121</v>
      </c>
      <c r="G169" t="s">
        <v>42</v>
      </c>
      <c r="H169">
        <v>8</v>
      </c>
      <c r="I169">
        <v>250</v>
      </c>
      <c r="J169">
        <v>0.05</v>
      </c>
      <c r="K169" t="s">
        <v>70</v>
      </c>
    </row>
    <row r="170" spans="1:11" x14ac:dyDescent="0.25">
      <c r="A170" t="s">
        <v>402</v>
      </c>
      <c r="B170" t="s">
        <v>403</v>
      </c>
      <c r="C170" t="s">
        <v>138</v>
      </c>
      <c r="D170" t="s">
        <v>69</v>
      </c>
      <c r="E170" t="s">
        <v>77</v>
      </c>
      <c r="F170" t="s">
        <v>78</v>
      </c>
      <c r="G170" t="s">
        <v>57</v>
      </c>
      <c r="H170">
        <v>11</v>
      </c>
      <c r="I170">
        <v>3500</v>
      </c>
      <c r="J170">
        <v>0.25</v>
      </c>
      <c r="K170" t="s">
        <v>43</v>
      </c>
    </row>
    <row r="171" spans="1:11" x14ac:dyDescent="0.25">
      <c r="A171" t="s">
        <v>404</v>
      </c>
      <c r="B171" t="s">
        <v>211</v>
      </c>
      <c r="C171" t="s">
        <v>151</v>
      </c>
      <c r="D171" t="s">
        <v>296</v>
      </c>
      <c r="E171" t="s">
        <v>48</v>
      </c>
      <c r="F171" t="s">
        <v>49</v>
      </c>
      <c r="G171" t="s">
        <v>50</v>
      </c>
      <c r="H171">
        <v>6</v>
      </c>
      <c r="I171">
        <v>12000</v>
      </c>
      <c r="J171">
        <v>0.25</v>
      </c>
      <c r="K171" t="s">
        <v>51</v>
      </c>
    </row>
    <row r="172" spans="1:11" x14ac:dyDescent="0.25">
      <c r="A172" t="s">
        <v>405</v>
      </c>
      <c r="B172" t="s">
        <v>406</v>
      </c>
      <c r="C172" t="s">
        <v>304</v>
      </c>
      <c r="D172" t="s">
        <v>5</v>
      </c>
      <c r="E172" t="s">
        <v>135</v>
      </c>
      <c r="F172" t="s">
        <v>136</v>
      </c>
      <c r="G172" t="s">
        <v>50</v>
      </c>
      <c r="H172">
        <v>1</v>
      </c>
      <c r="I172">
        <v>9500</v>
      </c>
      <c r="J172">
        <v>0.05</v>
      </c>
      <c r="K172" t="s">
        <v>102</v>
      </c>
    </row>
    <row r="173" spans="1:11" x14ac:dyDescent="0.25">
      <c r="A173" t="s">
        <v>106</v>
      </c>
      <c r="B173" s="4">
        <v>46140</v>
      </c>
      <c r="C173" t="s">
        <v>93</v>
      </c>
      <c r="D173" t="s">
        <v>54</v>
      </c>
      <c r="E173" t="s">
        <v>89</v>
      </c>
      <c r="F173" t="s">
        <v>90</v>
      </c>
      <c r="G173" t="s">
        <v>91</v>
      </c>
      <c r="H173">
        <v>1</v>
      </c>
      <c r="I173">
        <v>2200</v>
      </c>
      <c r="J173">
        <v>0.25</v>
      </c>
      <c r="K173" t="s">
        <v>70</v>
      </c>
    </row>
    <row r="174" spans="1:11" x14ac:dyDescent="0.25">
      <c r="A174" t="s">
        <v>407</v>
      </c>
      <c r="B174" s="4">
        <v>45986</v>
      </c>
      <c r="C174" t="s">
        <v>165</v>
      </c>
      <c r="D174" t="s">
        <v>47</v>
      </c>
      <c r="E174" t="s">
        <v>55</v>
      </c>
      <c r="F174" t="s">
        <v>56</v>
      </c>
      <c r="G174" t="s">
        <v>57</v>
      </c>
      <c r="H174">
        <v>10</v>
      </c>
      <c r="I174">
        <v>65000</v>
      </c>
      <c r="J174">
        <v>0.2</v>
      </c>
      <c r="K174" t="s">
        <v>51</v>
      </c>
    </row>
    <row r="175" spans="1:11" x14ac:dyDescent="0.25">
      <c r="A175" t="s">
        <v>408</v>
      </c>
      <c r="B175" s="4">
        <v>46122</v>
      </c>
      <c r="C175" t="s">
        <v>262</v>
      </c>
      <c r="D175" t="s">
        <v>65</v>
      </c>
      <c r="E175" t="s">
        <v>127</v>
      </c>
      <c r="F175" t="s">
        <v>128</v>
      </c>
      <c r="G175" t="s">
        <v>57</v>
      </c>
      <c r="H175">
        <v>8</v>
      </c>
      <c r="I175">
        <v>4500</v>
      </c>
      <c r="J175" t="s">
        <v>223</v>
      </c>
      <c r="K175" t="s">
        <v>102</v>
      </c>
    </row>
    <row r="176" spans="1:11" x14ac:dyDescent="0.25">
      <c r="A176" t="s">
        <v>409</v>
      </c>
      <c r="B176" t="s">
        <v>170</v>
      </c>
      <c r="C176" t="s">
        <v>123</v>
      </c>
      <c r="D176" t="s">
        <v>83</v>
      </c>
      <c r="E176" t="s">
        <v>98</v>
      </c>
      <c r="F176" t="s">
        <v>99</v>
      </c>
      <c r="G176" t="s">
        <v>50</v>
      </c>
      <c r="H176">
        <v>3</v>
      </c>
      <c r="I176">
        <v>28000</v>
      </c>
      <c r="J176">
        <v>0.25</v>
      </c>
      <c r="K176" t="s">
        <v>74</v>
      </c>
    </row>
    <row r="177" spans="1:11" x14ac:dyDescent="0.25">
      <c r="A177" t="s">
        <v>410</v>
      </c>
      <c r="B177" t="s">
        <v>411</v>
      </c>
      <c r="C177" t="s">
        <v>192</v>
      </c>
      <c r="D177" t="s">
        <v>296</v>
      </c>
      <c r="E177" t="s">
        <v>127</v>
      </c>
      <c r="F177" t="s">
        <v>128</v>
      </c>
      <c r="G177" t="s">
        <v>57</v>
      </c>
      <c r="H177">
        <v>10</v>
      </c>
      <c r="I177">
        <v>4500</v>
      </c>
      <c r="K177" t="s">
        <v>79</v>
      </c>
    </row>
    <row r="178" spans="1:11" x14ac:dyDescent="0.25">
      <c r="A178" t="s">
        <v>412</v>
      </c>
      <c r="B178" s="4">
        <v>46075</v>
      </c>
      <c r="C178" t="s">
        <v>304</v>
      </c>
      <c r="D178" t="s">
        <v>193</v>
      </c>
      <c r="E178" t="s">
        <v>98</v>
      </c>
      <c r="F178" t="s">
        <v>99</v>
      </c>
      <c r="G178" t="s">
        <v>50</v>
      </c>
      <c r="H178">
        <v>9</v>
      </c>
      <c r="I178">
        <v>28000</v>
      </c>
      <c r="J178" t="s">
        <v>223</v>
      </c>
      <c r="K178" t="s">
        <v>102</v>
      </c>
    </row>
    <row r="179" spans="1:11" x14ac:dyDescent="0.25">
      <c r="A179" t="s">
        <v>413</v>
      </c>
      <c r="B179" t="s">
        <v>414</v>
      </c>
      <c r="C179" t="s">
        <v>168</v>
      </c>
      <c r="D179" t="s">
        <v>161</v>
      </c>
      <c r="E179" t="s">
        <v>55</v>
      </c>
      <c r="F179" t="s">
        <v>56</v>
      </c>
      <c r="G179" t="s">
        <v>57</v>
      </c>
      <c r="H179">
        <v>2</v>
      </c>
      <c r="I179">
        <v>65000</v>
      </c>
      <c r="J179">
        <v>0.15</v>
      </c>
      <c r="K179" t="s">
        <v>102</v>
      </c>
    </row>
    <row r="180" spans="1:11" x14ac:dyDescent="0.25">
      <c r="A180" t="s">
        <v>415</v>
      </c>
      <c r="B180" s="4">
        <v>46037</v>
      </c>
      <c r="C180" t="s">
        <v>76</v>
      </c>
      <c r="D180" t="s">
        <v>65</v>
      </c>
      <c r="E180" t="s">
        <v>127</v>
      </c>
      <c r="F180" t="s">
        <v>128</v>
      </c>
      <c r="G180" t="s">
        <v>57</v>
      </c>
      <c r="H180">
        <v>3</v>
      </c>
      <c r="I180">
        <v>4500</v>
      </c>
      <c r="J180">
        <v>0.2</v>
      </c>
      <c r="K180" t="s">
        <v>79</v>
      </c>
    </row>
    <row r="181" spans="1:11" x14ac:dyDescent="0.25">
      <c r="A181" t="s">
        <v>416</v>
      </c>
      <c r="B181" s="4">
        <v>46059</v>
      </c>
      <c r="C181" t="s">
        <v>123</v>
      </c>
      <c r="D181" t="s">
        <v>110</v>
      </c>
      <c r="E181" t="s">
        <v>77</v>
      </c>
      <c r="F181" t="s">
        <v>78</v>
      </c>
      <c r="G181" t="s">
        <v>57</v>
      </c>
      <c r="H181">
        <v>1</v>
      </c>
      <c r="I181">
        <v>3500</v>
      </c>
      <c r="J181">
        <v>0.25</v>
      </c>
      <c r="K181" t="s">
        <v>74</v>
      </c>
    </row>
    <row r="182" spans="1:11" x14ac:dyDescent="0.25">
      <c r="A182" t="s">
        <v>417</v>
      </c>
      <c r="B182" t="s">
        <v>418</v>
      </c>
      <c r="C182" t="s">
        <v>192</v>
      </c>
      <c r="D182" t="s">
        <v>105</v>
      </c>
      <c r="E182" t="s">
        <v>89</v>
      </c>
      <c r="F182" t="s">
        <v>90</v>
      </c>
      <c r="G182" t="s">
        <v>91</v>
      </c>
      <c r="H182">
        <v>6</v>
      </c>
      <c r="I182">
        <v>2200</v>
      </c>
      <c r="J182">
        <v>0.05</v>
      </c>
      <c r="K182" t="s">
        <v>102</v>
      </c>
    </row>
    <row r="183" spans="1:11" x14ac:dyDescent="0.25">
      <c r="A183" t="s">
        <v>419</v>
      </c>
      <c r="B183" s="4">
        <v>46097</v>
      </c>
      <c r="C183" t="s">
        <v>64</v>
      </c>
      <c r="D183" t="s">
        <v>101</v>
      </c>
      <c r="E183" t="s">
        <v>127</v>
      </c>
      <c r="F183" t="s">
        <v>128</v>
      </c>
      <c r="G183" t="s">
        <v>57</v>
      </c>
      <c r="H183">
        <v>1</v>
      </c>
      <c r="I183">
        <v>4500</v>
      </c>
      <c r="K183" t="s">
        <v>79</v>
      </c>
    </row>
    <row r="184" spans="1:11" x14ac:dyDescent="0.25">
      <c r="A184" t="s">
        <v>420</v>
      </c>
      <c r="B184" t="s">
        <v>163</v>
      </c>
      <c r="C184" t="s">
        <v>138</v>
      </c>
      <c r="D184" t="s">
        <v>296</v>
      </c>
      <c r="E184" t="s">
        <v>127</v>
      </c>
      <c r="F184" t="s">
        <v>128</v>
      </c>
      <c r="G184" t="s">
        <v>57</v>
      </c>
      <c r="H184">
        <v>9</v>
      </c>
      <c r="I184">
        <v>4500</v>
      </c>
      <c r="K184" t="s">
        <v>51</v>
      </c>
    </row>
    <row r="185" spans="1:11" x14ac:dyDescent="0.25">
      <c r="A185" t="s">
        <v>421</v>
      </c>
      <c r="B185" t="s">
        <v>422</v>
      </c>
      <c r="C185" t="s">
        <v>68</v>
      </c>
      <c r="D185" t="s">
        <v>114</v>
      </c>
      <c r="E185" t="s">
        <v>77</v>
      </c>
      <c r="F185" t="s">
        <v>78</v>
      </c>
      <c r="G185" t="s">
        <v>57</v>
      </c>
      <c r="H185">
        <v>5</v>
      </c>
      <c r="I185">
        <v>3500</v>
      </c>
      <c r="J185">
        <v>0.15</v>
      </c>
      <c r="K185" t="s">
        <v>70</v>
      </c>
    </row>
    <row r="186" spans="1:11" x14ac:dyDescent="0.25">
      <c r="A186" t="s">
        <v>423</v>
      </c>
      <c r="B186" t="s">
        <v>424</v>
      </c>
      <c r="C186" t="s">
        <v>60</v>
      </c>
      <c r="D186" t="s">
        <v>209</v>
      </c>
      <c r="E186" t="s">
        <v>40</v>
      </c>
      <c r="F186" t="s">
        <v>41</v>
      </c>
      <c r="G186" t="s">
        <v>42</v>
      </c>
      <c r="H186">
        <v>11</v>
      </c>
      <c r="I186">
        <v>450</v>
      </c>
      <c r="J186">
        <v>0.15</v>
      </c>
      <c r="K186" t="s">
        <v>74</v>
      </c>
    </row>
    <row r="187" spans="1:11" x14ac:dyDescent="0.25">
      <c r="A187" t="s">
        <v>425</v>
      </c>
      <c r="B187" s="4">
        <v>46008</v>
      </c>
      <c r="C187" t="s">
        <v>181</v>
      </c>
      <c r="D187" t="s">
        <v>54</v>
      </c>
      <c r="E187" t="s">
        <v>127</v>
      </c>
      <c r="F187" t="s">
        <v>128</v>
      </c>
      <c r="G187" t="s">
        <v>57</v>
      </c>
      <c r="H187">
        <v>6</v>
      </c>
      <c r="I187">
        <v>4500</v>
      </c>
      <c r="J187">
        <v>0.2</v>
      </c>
      <c r="K187" t="s">
        <v>74</v>
      </c>
    </row>
    <row r="188" spans="1:11" x14ac:dyDescent="0.25">
      <c r="A188" t="s">
        <v>426</v>
      </c>
      <c r="B188" s="4">
        <v>46049</v>
      </c>
      <c r="C188" t="s">
        <v>46</v>
      </c>
      <c r="D188" t="s">
        <v>69</v>
      </c>
      <c r="E188" t="s">
        <v>120</v>
      </c>
      <c r="F188" t="s">
        <v>121</v>
      </c>
      <c r="G188" t="s">
        <v>42</v>
      </c>
      <c r="H188">
        <v>10</v>
      </c>
      <c r="I188">
        <v>250</v>
      </c>
      <c r="J188">
        <v>0.2</v>
      </c>
      <c r="K188" t="s">
        <v>79</v>
      </c>
    </row>
    <row r="189" spans="1:11" x14ac:dyDescent="0.25">
      <c r="A189" t="s">
        <v>100</v>
      </c>
      <c r="B189" s="4">
        <v>45965</v>
      </c>
      <c r="C189" t="s">
        <v>53</v>
      </c>
      <c r="E189" t="s">
        <v>40</v>
      </c>
      <c r="F189" t="s">
        <v>41</v>
      </c>
      <c r="G189" t="s">
        <v>42</v>
      </c>
      <c r="H189">
        <v>1</v>
      </c>
      <c r="I189">
        <v>450</v>
      </c>
      <c r="J189">
        <v>0.25</v>
      </c>
      <c r="K189" t="s">
        <v>102</v>
      </c>
    </row>
    <row r="190" spans="1:11" x14ac:dyDescent="0.25">
      <c r="A190" t="s">
        <v>427</v>
      </c>
      <c r="B190" t="s">
        <v>158</v>
      </c>
      <c r="C190" t="s">
        <v>144</v>
      </c>
      <c r="D190" t="s">
        <v>65</v>
      </c>
      <c r="E190" t="s">
        <v>40</v>
      </c>
      <c r="F190" t="s">
        <v>41</v>
      </c>
      <c r="G190" t="s">
        <v>42</v>
      </c>
      <c r="H190">
        <v>3</v>
      </c>
      <c r="I190">
        <v>450</v>
      </c>
      <c r="J190">
        <v>0.25</v>
      </c>
      <c r="K190" t="s">
        <v>79</v>
      </c>
    </row>
    <row r="191" spans="1:11" x14ac:dyDescent="0.25">
      <c r="A191" t="s">
        <v>317</v>
      </c>
      <c r="B191" s="4">
        <v>46098</v>
      </c>
      <c r="C191" t="s">
        <v>168</v>
      </c>
      <c r="D191" t="s">
        <v>61</v>
      </c>
      <c r="E191" t="s">
        <v>120</v>
      </c>
      <c r="F191" t="s">
        <v>121</v>
      </c>
      <c r="G191" t="s">
        <v>42</v>
      </c>
      <c r="H191">
        <v>10</v>
      </c>
      <c r="I191">
        <v>250</v>
      </c>
      <c r="J191" t="s">
        <v>223</v>
      </c>
      <c r="K191" t="s">
        <v>51</v>
      </c>
    </row>
    <row r="192" spans="1:11" x14ac:dyDescent="0.25">
      <c r="A192" t="s">
        <v>428</v>
      </c>
      <c r="B192" t="s">
        <v>429</v>
      </c>
      <c r="C192" t="s">
        <v>144</v>
      </c>
      <c r="D192" t="s">
        <v>54</v>
      </c>
      <c r="E192" t="s">
        <v>77</v>
      </c>
      <c r="F192" t="s">
        <v>78</v>
      </c>
      <c r="G192" t="s">
        <v>57</v>
      </c>
      <c r="H192">
        <v>10</v>
      </c>
      <c r="I192">
        <v>3500</v>
      </c>
      <c r="J192">
        <v>0</v>
      </c>
      <c r="K192" t="s">
        <v>51</v>
      </c>
    </row>
    <row r="193" spans="1:11" x14ac:dyDescent="0.25">
      <c r="A193" t="s">
        <v>430</v>
      </c>
      <c r="B193" s="4">
        <v>45968</v>
      </c>
      <c r="C193" t="s">
        <v>131</v>
      </c>
      <c r="D193" t="s">
        <v>101</v>
      </c>
      <c r="E193" t="s">
        <v>40</v>
      </c>
      <c r="F193" t="s">
        <v>41</v>
      </c>
      <c r="G193" t="s">
        <v>42</v>
      </c>
      <c r="H193">
        <v>8</v>
      </c>
      <c r="I193">
        <v>450</v>
      </c>
      <c r="J193">
        <v>0.05</v>
      </c>
      <c r="K193" t="s">
        <v>102</v>
      </c>
    </row>
    <row r="194" spans="1:11" x14ac:dyDescent="0.25">
      <c r="A194" t="s">
        <v>431</v>
      </c>
      <c r="B194" t="s">
        <v>432</v>
      </c>
      <c r="C194" t="s">
        <v>433</v>
      </c>
      <c r="D194" t="s">
        <v>94</v>
      </c>
      <c r="E194" t="s">
        <v>127</v>
      </c>
      <c r="F194" t="s">
        <v>128</v>
      </c>
      <c r="G194" t="s">
        <v>57</v>
      </c>
      <c r="H194">
        <v>12</v>
      </c>
      <c r="I194">
        <v>4500</v>
      </c>
      <c r="J194" t="s">
        <v>223</v>
      </c>
      <c r="K194" t="s">
        <v>102</v>
      </c>
    </row>
    <row r="195" spans="1:11" x14ac:dyDescent="0.25">
      <c r="A195" t="s">
        <v>434</v>
      </c>
      <c r="B195" t="s">
        <v>435</v>
      </c>
      <c r="C195" t="s">
        <v>88</v>
      </c>
      <c r="D195" t="s">
        <v>266</v>
      </c>
      <c r="E195" t="s">
        <v>77</v>
      </c>
      <c r="F195" t="s">
        <v>78</v>
      </c>
      <c r="G195" t="s">
        <v>57</v>
      </c>
      <c r="H195">
        <v>12</v>
      </c>
      <c r="I195">
        <v>3500</v>
      </c>
      <c r="J195">
        <v>0.25</v>
      </c>
      <c r="K195" t="s">
        <v>51</v>
      </c>
    </row>
    <row r="196" spans="1:11" x14ac:dyDescent="0.25">
      <c r="A196" t="s">
        <v>436</v>
      </c>
      <c r="B196" t="s">
        <v>437</v>
      </c>
      <c r="C196" t="s">
        <v>214</v>
      </c>
      <c r="D196" t="s">
        <v>61</v>
      </c>
      <c r="E196" t="s">
        <v>40</v>
      </c>
      <c r="F196" t="s">
        <v>41</v>
      </c>
      <c r="G196" t="s">
        <v>42</v>
      </c>
      <c r="H196">
        <v>9</v>
      </c>
      <c r="I196">
        <v>450</v>
      </c>
      <c r="K196" t="s">
        <v>79</v>
      </c>
    </row>
    <row r="197" spans="1:11" x14ac:dyDescent="0.25">
      <c r="A197" t="s">
        <v>438</v>
      </c>
      <c r="B197" t="s">
        <v>358</v>
      </c>
      <c r="C197" t="s">
        <v>235</v>
      </c>
      <c r="D197" t="s">
        <v>209</v>
      </c>
      <c r="E197" t="s">
        <v>48</v>
      </c>
      <c r="F197" t="s">
        <v>49</v>
      </c>
      <c r="G197" t="s">
        <v>50</v>
      </c>
      <c r="H197">
        <v>5</v>
      </c>
      <c r="I197">
        <v>12000</v>
      </c>
      <c r="J197">
        <v>0.05</v>
      </c>
      <c r="K197" t="s">
        <v>74</v>
      </c>
    </row>
    <row r="198" spans="1:11" x14ac:dyDescent="0.25">
      <c r="A198" t="s">
        <v>439</v>
      </c>
      <c r="B198" s="4">
        <v>46066</v>
      </c>
      <c r="C198" t="s">
        <v>93</v>
      </c>
      <c r="D198" t="s">
        <v>39</v>
      </c>
      <c r="E198" t="s">
        <v>40</v>
      </c>
      <c r="F198" t="s">
        <v>41</v>
      </c>
      <c r="G198" t="s">
        <v>42</v>
      </c>
      <c r="H198">
        <v>2</v>
      </c>
      <c r="I198">
        <v>450</v>
      </c>
      <c r="J198">
        <v>0.15</v>
      </c>
      <c r="K198" t="s">
        <v>70</v>
      </c>
    </row>
    <row r="199" spans="1:11" x14ac:dyDescent="0.25">
      <c r="A199" t="s">
        <v>440</v>
      </c>
      <c r="B199" t="s">
        <v>141</v>
      </c>
      <c r="C199" t="s">
        <v>131</v>
      </c>
      <c r="D199" t="s">
        <v>296</v>
      </c>
      <c r="E199" t="s">
        <v>120</v>
      </c>
      <c r="F199" t="s">
        <v>121</v>
      </c>
      <c r="G199" t="s">
        <v>42</v>
      </c>
      <c r="H199">
        <v>9</v>
      </c>
      <c r="I199">
        <v>250</v>
      </c>
      <c r="K199" t="s">
        <v>79</v>
      </c>
    </row>
    <row r="200" spans="1:11" x14ac:dyDescent="0.25">
      <c r="A200" t="s">
        <v>441</v>
      </c>
      <c r="B200" t="s">
        <v>442</v>
      </c>
      <c r="C200" t="s">
        <v>134</v>
      </c>
      <c r="D200" t="s">
        <v>69</v>
      </c>
      <c r="E200" t="s">
        <v>98</v>
      </c>
      <c r="F200" t="s">
        <v>99</v>
      </c>
      <c r="G200" t="s">
        <v>50</v>
      </c>
      <c r="H200">
        <v>6</v>
      </c>
      <c r="I200" t="e">
        <v>#N/A</v>
      </c>
      <c r="J200">
        <v>0.15</v>
      </c>
      <c r="K200" t="s">
        <v>102</v>
      </c>
    </row>
    <row r="201" spans="1:11" x14ac:dyDescent="0.25">
      <c r="A201" t="s">
        <v>443</v>
      </c>
      <c r="B201" t="s">
        <v>355</v>
      </c>
      <c r="C201" t="s">
        <v>235</v>
      </c>
      <c r="D201" t="s">
        <v>39</v>
      </c>
      <c r="E201" t="s">
        <v>98</v>
      </c>
      <c r="F201" t="s">
        <v>99</v>
      </c>
      <c r="G201" t="s">
        <v>50</v>
      </c>
      <c r="H201">
        <v>5</v>
      </c>
      <c r="I201">
        <v>28000</v>
      </c>
      <c r="J201">
        <v>0.1</v>
      </c>
      <c r="K201" t="s">
        <v>51</v>
      </c>
    </row>
    <row r="202" spans="1:11" x14ac:dyDescent="0.25">
      <c r="A202" t="s">
        <v>444</v>
      </c>
      <c r="B202" t="s">
        <v>445</v>
      </c>
      <c r="C202" t="s">
        <v>214</v>
      </c>
      <c r="D202" t="s">
        <v>5</v>
      </c>
      <c r="E202" t="s">
        <v>120</v>
      </c>
      <c r="F202" t="s">
        <v>121</v>
      </c>
      <c r="G202" t="s">
        <v>42</v>
      </c>
      <c r="H202">
        <v>9</v>
      </c>
      <c r="I202">
        <v>250</v>
      </c>
      <c r="J202">
        <v>0.15</v>
      </c>
      <c r="K202" t="s">
        <v>79</v>
      </c>
    </row>
    <row r="203" spans="1:11" x14ac:dyDescent="0.25">
      <c r="A203" t="s">
        <v>446</v>
      </c>
      <c r="B203" t="s">
        <v>447</v>
      </c>
      <c r="C203" t="s">
        <v>189</v>
      </c>
      <c r="D203" t="s">
        <v>86</v>
      </c>
      <c r="E203" t="s">
        <v>40</v>
      </c>
      <c r="F203" t="s">
        <v>41</v>
      </c>
      <c r="G203" t="s">
        <v>42</v>
      </c>
      <c r="H203">
        <v>4</v>
      </c>
      <c r="I203">
        <v>450</v>
      </c>
      <c r="J203">
        <v>0.15</v>
      </c>
      <c r="K203" t="s">
        <v>43</v>
      </c>
    </row>
    <row r="204" spans="1:11" x14ac:dyDescent="0.25">
      <c r="A204" t="s">
        <v>448</v>
      </c>
      <c r="B204" s="4">
        <v>46138</v>
      </c>
      <c r="C204" t="s">
        <v>156</v>
      </c>
      <c r="D204" t="s">
        <v>83</v>
      </c>
      <c r="E204" t="s">
        <v>127</v>
      </c>
      <c r="F204" t="s">
        <v>128</v>
      </c>
      <c r="G204" t="s">
        <v>57</v>
      </c>
      <c r="H204">
        <v>4</v>
      </c>
      <c r="I204">
        <v>4500</v>
      </c>
      <c r="J204">
        <v>0</v>
      </c>
      <c r="K204" t="s">
        <v>51</v>
      </c>
    </row>
    <row r="205" spans="1:11" x14ac:dyDescent="0.25">
      <c r="A205" t="s">
        <v>52</v>
      </c>
      <c r="B205" s="4">
        <v>46128</v>
      </c>
      <c r="C205" t="s">
        <v>53</v>
      </c>
      <c r="D205" t="s">
        <v>54</v>
      </c>
      <c r="E205" t="s">
        <v>55</v>
      </c>
      <c r="F205" t="s">
        <v>56</v>
      </c>
      <c r="G205" t="s">
        <v>57</v>
      </c>
      <c r="H205">
        <v>12</v>
      </c>
      <c r="I205">
        <v>65000</v>
      </c>
      <c r="J205">
        <v>0.05</v>
      </c>
      <c r="K205" t="s">
        <v>51</v>
      </c>
    </row>
    <row r="206" spans="1:11" x14ac:dyDescent="0.25">
      <c r="A206" t="s">
        <v>449</v>
      </c>
      <c r="B206" t="s">
        <v>450</v>
      </c>
      <c r="C206" t="s">
        <v>126</v>
      </c>
      <c r="D206" t="s">
        <v>296</v>
      </c>
      <c r="E206" t="s">
        <v>127</v>
      </c>
      <c r="F206" t="s">
        <v>128</v>
      </c>
      <c r="G206" t="s">
        <v>57</v>
      </c>
      <c r="H206">
        <v>7</v>
      </c>
      <c r="I206">
        <v>4500</v>
      </c>
      <c r="K206" t="s">
        <v>43</v>
      </c>
    </row>
    <row r="207" spans="1:11" x14ac:dyDescent="0.25">
      <c r="A207" t="s">
        <v>451</v>
      </c>
      <c r="B207" t="s">
        <v>208</v>
      </c>
      <c r="C207" t="s">
        <v>178</v>
      </c>
      <c r="D207" t="s">
        <v>54</v>
      </c>
      <c r="E207" t="s">
        <v>135</v>
      </c>
      <c r="F207" t="s">
        <v>136</v>
      </c>
      <c r="G207" t="s">
        <v>50</v>
      </c>
      <c r="H207">
        <v>4</v>
      </c>
      <c r="I207">
        <v>9500</v>
      </c>
      <c r="J207">
        <v>0.05</v>
      </c>
      <c r="K207" t="s">
        <v>102</v>
      </c>
    </row>
    <row r="208" spans="1:11" x14ac:dyDescent="0.25">
      <c r="A208" t="s">
        <v>452</v>
      </c>
      <c r="B208" t="s">
        <v>453</v>
      </c>
      <c r="C208" t="s">
        <v>151</v>
      </c>
      <c r="D208" t="s">
        <v>101</v>
      </c>
      <c r="E208" t="s">
        <v>111</v>
      </c>
      <c r="F208" t="s">
        <v>112</v>
      </c>
      <c r="G208" t="s">
        <v>57</v>
      </c>
      <c r="H208">
        <v>7</v>
      </c>
      <c r="I208">
        <v>18000</v>
      </c>
      <c r="J208">
        <v>0.1</v>
      </c>
      <c r="K208" t="s">
        <v>102</v>
      </c>
    </row>
    <row r="209" spans="1:11" x14ac:dyDescent="0.25">
      <c r="A209" t="s">
        <v>454</v>
      </c>
      <c r="B209" t="s">
        <v>455</v>
      </c>
      <c r="C209" t="s">
        <v>235</v>
      </c>
      <c r="D209" t="s">
        <v>86</v>
      </c>
      <c r="E209" t="s">
        <v>135</v>
      </c>
      <c r="F209" t="s">
        <v>136</v>
      </c>
      <c r="G209" t="s">
        <v>50</v>
      </c>
      <c r="H209">
        <v>1</v>
      </c>
      <c r="I209">
        <v>9500</v>
      </c>
      <c r="J209">
        <v>0.2</v>
      </c>
      <c r="K209" t="s">
        <v>79</v>
      </c>
    </row>
    <row r="210" spans="1:11" x14ac:dyDescent="0.25">
      <c r="A210" t="s">
        <v>95</v>
      </c>
      <c r="B210" t="s">
        <v>96</v>
      </c>
      <c r="C210" t="s">
        <v>97</v>
      </c>
      <c r="D210" t="s">
        <v>266</v>
      </c>
      <c r="E210" t="s">
        <v>98</v>
      </c>
      <c r="F210" t="s">
        <v>99</v>
      </c>
      <c r="G210" t="s">
        <v>50</v>
      </c>
      <c r="H210">
        <v>2</v>
      </c>
      <c r="I210">
        <v>28000</v>
      </c>
      <c r="K210" t="s">
        <v>43</v>
      </c>
    </row>
    <row r="211" spans="1:11" x14ac:dyDescent="0.25">
      <c r="A211" t="s">
        <v>456</v>
      </c>
      <c r="B211" s="4">
        <v>46019</v>
      </c>
      <c r="C211" t="s">
        <v>235</v>
      </c>
      <c r="D211" t="s">
        <v>193</v>
      </c>
      <c r="E211" t="s">
        <v>77</v>
      </c>
      <c r="F211" t="s">
        <v>78</v>
      </c>
      <c r="G211" t="s">
        <v>57</v>
      </c>
      <c r="H211">
        <v>6</v>
      </c>
      <c r="I211">
        <v>3500</v>
      </c>
      <c r="J211">
        <v>0.15</v>
      </c>
      <c r="K211" t="s">
        <v>51</v>
      </c>
    </row>
    <row r="212" spans="1:11" x14ac:dyDescent="0.25">
      <c r="A212" t="s">
        <v>122</v>
      </c>
      <c r="B212" s="4">
        <v>45969</v>
      </c>
      <c r="C212" t="s">
        <v>123</v>
      </c>
      <c r="D212" t="s">
        <v>161</v>
      </c>
      <c r="E212" t="s">
        <v>48</v>
      </c>
      <c r="F212" t="s">
        <v>49</v>
      </c>
      <c r="G212" t="s">
        <v>50</v>
      </c>
      <c r="H212">
        <v>3</v>
      </c>
      <c r="J212">
        <v>0.2</v>
      </c>
      <c r="K212" t="s">
        <v>70</v>
      </c>
    </row>
    <row r="213" spans="1:11" x14ac:dyDescent="0.25">
      <c r="A213" t="s">
        <v>457</v>
      </c>
      <c r="B213" t="s">
        <v>458</v>
      </c>
      <c r="C213" t="s">
        <v>181</v>
      </c>
      <c r="D213" t="s">
        <v>266</v>
      </c>
      <c r="E213" t="s">
        <v>77</v>
      </c>
      <c r="F213" t="s">
        <v>78</v>
      </c>
      <c r="G213" t="s">
        <v>57</v>
      </c>
      <c r="H213">
        <v>2</v>
      </c>
      <c r="I213">
        <v>3500</v>
      </c>
      <c r="J213">
        <v>0.25</v>
      </c>
      <c r="K213" t="s">
        <v>43</v>
      </c>
    </row>
    <row r="214" spans="1:11" x14ac:dyDescent="0.25">
      <c r="A214" t="s">
        <v>459</v>
      </c>
      <c r="B214" t="s">
        <v>460</v>
      </c>
      <c r="C214" t="s">
        <v>156</v>
      </c>
      <c r="D214" t="s">
        <v>145</v>
      </c>
      <c r="E214" t="s">
        <v>40</v>
      </c>
      <c r="F214" t="s">
        <v>41</v>
      </c>
      <c r="G214" t="s">
        <v>42</v>
      </c>
      <c r="H214">
        <v>7</v>
      </c>
      <c r="I214">
        <v>450</v>
      </c>
      <c r="J214">
        <v>0.15</v>
      </c>
      <c r="K214" t="s">
        <v>43</v>
      </c>
    </row>
    <row r="215" spans="1:11" x14ac:dyDescent="0.25">
      <c r="A215" t="s">
        <v>461</v>
      </c>
      <c r="B215" s="4">
        <v>46131</v>
      </c>
      <c r="C215" t="s">
        <v>160</v>
      </c>
      <c r="D215" t="s">
        <v>94</v>
      </c>
      <c r="E215" t="s">
        <v>89</v>
      </c>
      <c r="F215" t="s">
        <v>90</v>
      </c>
      <c r="G215" t="s">
        <v>91</v>
      </c>
      <c r="H215">
        <v>7</v>
      </c>
      <c r="I215">
        <v>2200</v>
      </c>
      <c r="J215">
        <v>0.25</v>
      </c>
      <c r="K215" t="s">
        <v>74</v>
      </c>
    </row>
    <row r="216" spans="1:11" x14ac:dyDescent="0.25">
      <c r="A216" t="s">
        <v>462</v>
      </c>
      <c r="B216" s="4">
        <v>46103</v>
      </c>
      <c r="C216" t="s">
        <v>64</v>
      </c>
      <c r="D216" t="s">
        <v>86</v>
      </c>
      <c r="E216" t="s">
        <v>135</v>
      </c>
      <c r="F216" t="s">
        <v>136</v>
      </c>
      <c r="G216" t="s">
        <v>50</v>
      </c>
      <c r="H216">
        <v>8</v>
      </c>
      <c r="I216">
        <v>9500</v>
      </c>
      <c r="J216">
        <v>0.25</v>
      </c>
      <c r="K216" t="s">
        <v>102</v>
      </c>
    </row>
    <row r="217" spans="1:11" x14ac:dyDescent="0.25">
      <c r="A217" t="s">
        <v>463</v>
      </c>
      <c r="B217" s="4">
        <v>46076</v>
      </c>
      <c r="C217" t="s">
        <v>138</v>
      </c>
      <c r="D217" t="s">
        <v>69</v>
      </c>
      <c r="E217" t="s">
        <v>89</v>
      </c>
      <c r="F217" t="s">
        <v>90</v>
      </c>
      <c r="G217" t="s">
        <v>91</v>
      </c>
      <c r="H217">
        <v>12</v>
      </c>
      <c r="I217">
        <v>2200</v>
      </c>
      <c r="J217">
        <v>0.1</v>
      </c>
      <c r="K217" t="s">
        <v>102</v>
      </c>
    </row>
    <row r="218" spans="1:11" x14ac:dyDescent="0.25">
      <c r="A218" t="s">
        <v>309</v>
      </c>
      <c r="B218" t="s">
        <v>310</v>
      </c>
      <c r="C218" t="s">
        <v>68</v>
      </c>
      <c r="D218" t="s">
        <v>69</v>
      </c>
      <c r="E218" t="s">
        <v>111</v>
      </c>
      <c r="F218" t="s">
        <v>112</v>
      </c>
      <c r="G218" t="s">
        <v>57</v>
      </c>
      <c r="H218">
        <v>2</v>
      </c>
      <c r="I218">
        <v>18000</v>
      </c>
      <c r="J218">
        <v>0.2</v>
      </c>
      <c r="K218" t="s">
        <v>102</v>
      </c>
    </row>
    <row r="219" spans="1:11" x14ac:dyDescent="0.25">
      <c r="A219" t="s">
        <v>464</v>
      </c>
      <c r="B219" t="s">
        <v>285</v>
      </c>
      <c r="C219" t="s">
        <v>60</v>
      </c>
      <c r="D219" t="s">
        <v>69</v>
      </c>
      <c r="E219" t="s">
        <v>89</v>
      </c>
      <c r="F219" t="s">
        <v>90</v>
      </c>
      <c r="G219" t="s">
        <v>91</v>
      </c>
      <c r="H219">
        <v>7</v>
      </c>
      <c r="I219">
        <v>2200</v>
      </c>
      <c r="J219">
        <v>0.05</v>
      </c>
      <c r="K219" t="s">
        <v>74</v>
      </c>
    </row>
    <row r="220" spans="1:11" x14ac:dyDescent="0.25">
      <c r="A220" t="s">
        <v>465</v>
      </c>
      <c r="B220" t="s">
        <v>435</v>
      </c>
      <c r="C220" t="s">
        <v>126</v>
      </c>
      <c r="D220" t="s">
        <v>193</v>
      </c>
      <c r="E220" t="s">
        <v>135</v>
      </c>
      <c r="F220" t="s">
        <v>136</v>
      </c>
      <c r="G220" t="s">
        <v>50</v>
      </c>
      <c r="H220">
        <v>2</v>
      </c>
      <c r="I220">
        <v>9500</v>
      </c>
      <c r="J220">
        <v>0.25</v>
      </c>
      <c r="K220" t="s">
        <v>43</v>
      </c>
    </row>
    <row r="221" spans="1:11" x14ac:dyDescent="0.25">
      <c r="A221" t="s">
        <v>466</v>
      </c>
      <c r="B221" t="s">
        <v>467</v>
      </c>
      <c r="C221" t="s">
        <v>53</v>
      </c>
      <c r="D221" t="s">
        <v>296</v>
      </c>
      <c r="E221" t="s">
        <v>48</v>
      </c>
      <c r="F221" t="s">
        <v>49</v>
      </c>
      <c r="G221" t="s">
        <v>50</v>
      </c>
      <c r="H221">
        <v>7</v>
      </c>
      <c r="J221">
        <v>0.15</v>
      </c>
      <c r="K221" t="s">
        <v>43</v>
      </c>
    </row>
    <row r="222" spans="1:11" x14ac:dyDescent="0.25">
      <c r="A222" t="s">
        <v>468</v>
      </c>
      <c r="B222" t="s">
        <v>469</v>
      </c>
      <c r="C222" t="s">
        <v>314</v>
      </c>
      <c r="D222" t="s">
        <v>209</v>
      </c>
      <c r="E222" t="s">
        <v>127</v>
      </c>
      <c r="F222" t="s">
        <v>128</v>
      </c>
      <c r="G222" t="s">
        <v>57</v>
      </c>
      <c r="H222">
        <v>12</v>
      </c>
      <c r="I222">
        <v>4500</v>
      </c>
      <c r="J222">
        <v>0.1</v>
      </c>
      <c r="K222" t="s">
        <v>74</v>
      </c>
    </row>
    <row r="223" spans="1:11" x14ac:dyDescent="0.25">
      <c r="A223" t="s">
        <v>470</v>
      </c>
      <c r="B223" t="s">
        <v>376</v>
      </c>
      <c r="C223" t="s">
        <v>214</v>
      </c>
      <c r="D223" t="s">
        <v>61</v>
      </c>
      <c r="E223" t="s">
        <v>48</v>
      </c>
      <c r="F223" t="s">
        <v>49</v>
      </c>
      <c r="G223" t="s">
        <v>50</v>
      </c>
      <c r="H223">
        <v>5</v>
      </c>
      <c r="J223">
        <v>0.05</v>
      </c>
      <c r="K223" t="s">
        <v>51</v>
      </c>
    </row>
    <row r="224" spans="1:11" x14ac:dyDescent="0.25">
      <c r="A224" t="s">
        <v>239</v>
      </c>
      <c r="B224" t="s">
        <v>240</v>
      </c>
      <c r="C224" t="s">
        <v>241</v>
      </c>
      <c r="D224" t="s">
        <v>193</v>
      </c>
      <c r="E224" t="s">
        <v>135</v>
      </c>
      <c r="F224" t="s">
        <v>136</v>
      </c>
      <c r="G224" t="s">
        <v>50</v>
      </c>
      <c r="H224">
        <v>6</v>
      </c>
      <c r="I224">
        <v>9500</v>
      </c>
      <c r="J224">
        <v>0.1</v>
      </c>
      <c r="K224" t="s">
        <v>43</v>
      </c>
    </row>
    <row r="225" spans="1:11" x14ac:dyDescent="0.25">
      <c r="A225" t="s">
        <v>471</v>
      </c>
      <c r="B225" t="s">
        <v>275</v>
      </c>
      <c r="C225" t="s">
        <v>241</v>
      </c>
      <c r="D225" t="s">
        <v>105</v>
      </c>
      <c r="E225" t="s">
        <v>111</v>
      </c>
      <c r="F225" t="s">
        <v>112</v>
      </c>
      <c r="G225" t="s">
        <v>57</v>
      </c>
      <c r="H225">
        <v>3</v>
      </c>
      <c r="I225">
        <v>18000</v>
      </c>
      <c r="J225">
        <v>0.05</v>
      </c>
      <c r="K225" t="s">
        <v>74</v>
      </c>
    </row>
    <row r="226" spans="1:11" x14ac:dyDescent="0.25">
      <c r="A226" t="s">
        <v>472</v>
      </c>
      <c r="B226" t="s">
        <v>437</v>
      </c>
      <c r="C226" t="s">
        <v>214</v>
      </c>
      <c r="D226" t="s">
        <v>101</v>
      </c>
      <c r="E226" t="s">
        <v>89</v>
      </c>
      <c r="F226" t="s">
        <v>90</v>
      </c>
      <c r="G226" t="s">
        <v>91</v>
      </c>
      <c r="H226">
        <v>11</v>
      </c>
      <c r="J226">
        <v>0.1</v>
      </c>
      <c r="K226" t="s">
        <v>43</v>
      </c>
    </row>
    <row r="227" spans="1:11" x14ac:dyDescent="0.25">
      <c r="A227" t="s">
        <v>473</v>
      </c>
      <c r="B227" t="s">
        <v>216</v>
      </c>
      <c r="C227" t="s">
        <v>151</v>
      </c>
      <c r="D227" t="s">
        <v>65</v>
      </c>
      <c r="E227" t="s">
        <v>77</v>
      </c>
      <c r="F227" t="s">
        <v>78</v>
      </c>
      <c r="G227" t="s">
        <v>57</v>
      </c>
      <c r="H227">
        <v>1</v>
      </c>
      <c r="I227">
        <v>3500</v>
      </c>
      <c r="J227">
        <v>0</v>
      </c>
      <c r="K227" t="s">
        <v>102</v>
      </c>
    </row>
    <row r="228" spans="1:11" x14ac:dyDescent="0.25">
      <c r="A228" t="s">
        <v>474</v>
      </c>
      <c r="B228" s="4">
        <v>46141</v>
      </c>
      <c r="C228" t="s">
        <v>97</v>
      </c>
      <c r="D228" t="s">
        <v>296</v>
      </c>
      <c r="E228" t="s">
        <v>89</v>
      </c>
      <c r="F228" t="s">
        <v>90</v>
      </c>
      <c r="G228" t="s">
        <v>91</v>
      </c>
      <c r="H228">
        <v>10</v>
      </c>
      <c r="I228">
        <v>2200</v>
      </c>
      <c r="J228">
        <v>0.1</v>
      </c>
      <c r="K228" t="s">
        <v>51</v>
      </c>
    </row>
    <row r="229" spans="1:11" x14ac:dyDescent="0.25">
      <c r="A229" t="s">
        <v>475</v>
      </c>
      <c r="B229" t="s">
        <v>476</v>
      </c>
      <c r="C229" t="s">
        <v>165</v>
      </c>
      <c r="D229" t="s">
        <v>101</v>
      </c>
      <c r="E229" t="s">
        <v>98</v>
      </c>
      <c r="F229" t="s">
        <v>99</v>
      </c>
      <c r="G229" t="s">
        <v>50</v>
      </c>
      <c r="H229">
        <v>2</v>
      </c>
      <c r="I229">
        <v>28000</v>
      </c>
      <c r="J229">
        <v>0.1</v>
      </c>
      <c r="K229" t="s">
        <v>51</v>
      </c>
    </row>
    <row r="230" spans="1:11" x14ac:dyDescent="0.25">
      <c r="A230" t="s">
        <v>477</v>
      </c>
      <c r="B230" t="s">
        <v>478</v>
      </c>
      <c r="C230" t="s">
        <v>151</v>
      </c>
      <c r="D230" t="s">
        <v>65</v>
      </c>
      <c r="E230" t="s">
        <v>55</v>
      </c>
      <c r="F230" t="s">
        <v>56</v>
      </c>
      <c r="G230" t="s">
        <v>57</v>
      </c>
      <c r="H230">
        <v>10</v>
      </c>
      <c r="I230">
        <v>65000</v>
      </c>
      <c r="J230">
        <v>0.15</v>
      </c>
      <c r="K230" t="s">
        <v>70</v>
      </c>
    </row>
    <row r="231" spans="1:11" x14ac:dyDescent="0.25">
      <c r="A231" t="s">
        <v>479</v>
      </c>
      <c r="B231" t="s">
        <v>480</v>
      </c>
      <c r="C231" t="s">
        <v>168</v>
      </c>
      <c r="D231" t="s">
        <v>114</v>
      </c>
      <c r="E231" t="s">
        <v>40</v>
      </c>
      <c r="F231" t="s">
        <v>41</v>
      </c>
      <c r="G231" t="s">
        <v>42</v>
      </c>
      <c r="H231">
        <v>2</v>
      </c>
      <c r="I231">
        <v>450</v>
      </c>
      <c r="J231">
        <v>0</v>
      </c>
      <c r="K231" t="s">
        <v>70</v>
      </c>
    </row>
    <row r="232" spans="1:11" x14ac:dyDescent="0.25">
      <c r="A232" t="s">
        <v>481</v>
      </c>
      <c r="B232" t="s">
        <v>482</v>
      </c>
      <c r="C232" t="s">
        <v>109</v>
      </c>
      <c r="D232" t="s">
        <v>39</v>
      </c>
      <c r="E232" t="s">
        <v>48</v>
      </c>
      <c r="F232" t="s">
        <v>49</v>
      </c>
      <c r="G232" t="s">
        <v>50</v>
      </c>
      <c r="H232">
        <v>12</v>
      </c>
      <c r="I232">
        <v>12000</v>
      </c>
      <c r="J232">
        <v>0.25</v>
      </c>
      <c r="K232" t="s">
        <v>79</v>
      </c>
    </row>
    <row r="233" spans="1:11" x14ac:dyDescent="0.25">
      <c r="A233" t="s">
        <v>483</v>
      </c>
      <c r="B233" t="s">
        <v>484</v>
      </c>
      <c r="C233" t="s">
        <v>144</v>
      </c>
      <c r="D233" t="s">
        <v>145</v>
      </c>
      <c r="E233" t="s">
        <v>127</v>
      </c>
      <c r="F233" t="s">
        <v>128</v>
      </c>
      <c r="G233" t="s">
        <v>57</v>
      </c>
      <c r="H233">
        <v>7</v>
      </c>
      <c r="I233">
        <v>4500</v>
      </c>
      <c r="J233">
        <v>0.1</v>
      </c>
      <c r="K233" t="s">
        <v>43</v>
      </c>
    </row>
    <row r="234" spans="1:11" x14ac:dyDescent="0.25">
      <c r="A234" t="s">
        <v>485</v>
      </c>
      <c r="B234" t="s">
        <v>486</v>
      </c>
      <c r="C234" t="s">
        <v>73</v>
      </c>
      <c r="D234" t="s">
        <v>54</v>
      </c>
      <c r="E234" t="s">
        <v>120</v>
      </c>
      <c r="F234" t="s">
        <v>121</v>
      </c>
      <c r="G234" t="s">
        <v>42</v>
      </c>
      <c r="H234">
        <v>11</v>
      </c>
      <c r="I234">
        <v>250</v>
      </c>
      <c r="J234">
        <v>0.1</v>
      </c>
      <c r="K234" t="s">
        <v>79</v>
      </c>
    </row>
    <row r="235" spans="1:11" x14ac:dyDescent="0.25">
      <c r="A235" t="s">
        <v>220</v>
      </c>
      <c r="B235" t="s">
        <v>221</v>
      </c>
      <c r="C235" t="s">
        <v>148</v>
      </c>
      <c r="D235" t="s">
        <v>86</v>
      </c>
      <c r="E235" t="s">
        <v>77</v>
      </c>
      <c r="F235" t="s">
        <v>78</v>
      </c>
      <c r="G235" t="s">
        <v>57</v>
      </c>
      <c r="H235">
        <v>3</v>
      </c>
      <c r="I235">
        <v>3500</v>
      </c>
      <c r="J235">
        <v>0.15</v>
      </c>
      <c r="K235" t="s">
        <v>70</v>
      </c>
    </row>
    <row r="236" spans="1:11" x14ac:dyDescent="0.25">
      <c r="A236" t="s">
        <v>487</v>
      </c>
      <c r="B236" t="s">
        <v>488</v>
      </c>
      <c r="C236" t="s">
        <v>53</v>
      </c>
      <c r="D236" t="s">
        <v>86</v>
      </c>
      <c r="E236" t="s">
        <v>120</v>
      </c>
      <c r="F236" t="s">
        <v>121</v>
      </c>
      <c r="G236" t="s">
        <v>42</v>
      </c>
      <c r="H236">
        <v>8</v>
      </c>
      <c r="I236">
        <v>250</v>
      </c>
      <c r="J236">
        <v>0.2</v>
      </c>
      <c r="K236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7" sqref="D7"/>
    </sheetView>
  </sheetViews>
  <sheetFormatPr defaultRowHeight="15" x14ac:dyDescent="0.25"/>
  <cols>
    <col min="1" max="1" width="10" customWidth="1"/>
    <col min="2" max="2" width="22" customWidth="1"/>
    <col min="3" max="3" width="28" customWidth="1"/>
    <col min="4" max="4" width="18" customWidth="1"/>
  </cols>
  <sheetData>
    <row r="1" spans="1:4" x14ac:dyDescent="0.25">
      <c r="A1" s="5" t="s">
        <v>36</v>
      </c>
      <c r="B1" s="5" t="s">
        <v>489</v>
      </c>
      <c r="C1" s="5" t="s">
        <v>490</v>
      </c>
      <c r="D1" s="5" t="s">
        <v>491</v>
      </c>
    </row>
    <row r="2" spans="1:4" x14ac:dyDescent="0.25">
      <c r="A2" t="s">
        <v>102</v>
      </c>
      <c r="B2" t="s">
        <v>492</v>
      </c>
      <c r="C2" t="s">
        <v>493</v>
      </c>
      <c r="D2" t="s">
        <v>5</v>
      </c>
    </row>
    <row r="3" spans="1:4" x14ac:dyDescent="0.25">
      <c r="A3" t="s">
        <v>74</v>
      </c>
      <c r="B3" t="s">
        <v>494</v>
      </c>
      <c r="C3" t="s">
        <v>495</v>
      </c>
      <c r="D3" t="s">
        <v>296</v>
      </c>
    </row>
    <row r="4" spans="1:4" x14ac:dyDescent="0.25">
      <c r="A4" t="s">
        <v>51</v>
      </c>
      <c r="B4" t="s">
        <v>496</v>
      </c>
      <c r="C4" t="s">
        <v>497</v>
      </c>
      <c r="D4" t="s">
        <v>69</v>
      </c>
    </row>
    <row r="5" spans="1:4" x14ac:dyDescent="0.25">
      <c r="A5" t="s">
        <v>43</v>
      </c>
      <c r="B5" t="s">
        <v>498</v>
      </c>
      <c r="C5" t="s">
        <v>499</v>
      </c>
      <c r="D5" t="s">
        <v>83</v>
      </c>
    </row>
    <row r="6" spans="1:4" x14ac:dyDescent="0.25">
      <c r="A6" t="s">
        <v>79</v>
      </c>
      <c r="B6" t="s">
        <v>500</v>
      </c>
      <c r="C6" t="s">
        <v>501</v>
      </c>
      <c r="D6" t="s">
        <v>266</v>
      </c>
    </row>
    <row r="7" spans="1:4" x14ac:dyDescent="0.25">
      <c r="A7" t="s">
        <v>70</v>
      </c>
      <c r="B7" t="s">
        <v>502</v>
      </c>
      <c r="C7" t="s">
        <v>503</v>
      </c>
      <c r="D7" t="s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6" sqref="D6"/>
    </sheetView>
  </sheetViews>
  <sheetFormatPr defaultRowHeight="15" x14ac:dyDescent="0.25"/>
  <cols>
    <col min="1" max="1" width="12" customWidth="1"/>
    <col min="2" max="7" width="13" customWidth="1"/>
  </cols>
  <sheetData>
    <row r="1" spans="1:7" x14ac:dyDescent="0.25">
      <c r="A1" s="6" t="s">
        <v>29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25">
      <c r="A2" t="s">
        <v>5</v>
      </c>
      <c r="B2" s="7">
        <v>850000</v>
      </c>
      <c r="C2" s="7">
        <v>900000</v>
      </c>
      <c r="D2" s="7">
        <v>920000</v>
      </c>
      <c r="E2" s="7">
        <v>880000</v>
      </c>
      <c r="F2" s="7">
        <v>950000</v>
      </c>
      <c r="G2" s="7">
        <v>1000000</v>
      </c>
    </row>
    <row r="3" spans="1:7" x14ac:dyDescent="0.25">
      <c r="A3" t="s">
        <v>296</v>
      </c>
      <c r="B3" s="7">
        <v>780000</v>
      </c>
      <c r="C3" s="7">
        <v>820000</v>
      </c>
      <c r="D3" s="7">
        <v>850000</v>
      </c>
      <c r="E3" s="7">
        <v>800000</v>
      </c>
      <c r="F3" s="7">
        <v>880000</v>
      </c>
      <c r="G3" s="7">
        <v>920000</v>
      </c>
    </row>
    <row r="4" spans="1:7" x14ac:dyDescent="0.25">
      <c r="A4" t="s">
        <v>69</v>
      </c>
      <c r="B4" s="7">
        <v>620000</v>
      </c>
      <c r="C4" s="7">
        <v>650000</v>
      </c>
      <c r="D4" s="7">
        <v>680000</v>
      </c>
      <c r="E4" s="7">
        <v>660000</v>
      </c>
      <c r="F4" s="7">
        <v>700000</v>
      </c>
      <c r="G4" s="7">
        <v>740000</v>
      </c>
    </row>
    <row r="5" spans="1:7" x14ac:dyDescent="0.25">
      <c r="A5" t="s">
        <v>83</v>
      </c>
      <c r="B5" s="7">
        <v>700000</v>
      </c>
      <c r="C5" s="7">
        <v>730000</v>
      </c>
      <c r="D5" s="7">
        <v>760000</v>
      </c>
      <c r="E5" s="7">
        <v>740000</v>
      </c>
      <c r="F5" s="7">
        <v>790000</v>
      </c>
      <c r="G5" s="7">
        <v>830000</v>
      </c>
    </row>
    <row r="6" spans="1:7" x14ac:dyDescent="0.25">
      <c r="A6" t="s">
        <v>266</v>
      </c>
      <c r="B6" s="7">
        <v>540000</v>
      </c>
      <c r="C6" s="7">
        <v>570000</v>
      </c>
      <c r="D6" s="7">
        <v>600000</v>
      </c>
      <c r="E6" s="7">
        <v>580000</v>
      </c>
      <c r="F6" s="7">
        <v>620000</v>
      </c>
      <c r="G6" s="7">
        <v>660000</v>
      </c>
    </row>
    <row r="8" spans="1:7" x14ac:dyDescent="0.25">
      <c r="A8" s="8" t="s">
        <v>504</v>
      </c>
      <c r="B8" s="61" t="s">
        <v>505</v>
      </c>
      <c r="C8" s="56"/>
      <c r="D8" s="56"/>
      <c r="E8" s="56"/>
      <c r="F8" s="56"/>
      <c r="G8" s="56"/>
    </row>
  </sheetData>
  <mergeCells count="1">
    <mergeCell ref="B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36"/>
  <sheetViews>
    <sheetView workbookViewId="0">
      <pane ySplit="1" topLeftCell="A2" activePane="bottomLeft" state="frozen"/>
      <selection pane="bottomLeft" activeCell="M15" sqref="M15"/>
    </sheetView>
  </sheetViews>
  <sheetFormatPr defaultRowHeight="15" x14ac:dyDescent="0.25"/>
  <cols>
    <col min="1" max="1" width="9.5703125" bestFit="1" customWidth="1"/>
    <col min="2" max="2" width="22" style="10" bestFit="1" customWidth="1"/>
    <col min="3" max="3" width="12.42578125" style="12" bestFit="1" customWidth="1"/>
    <col min="4" max="4" width="9.42578125" style="12" bestFit="1" customWidth="1"/>
    <col min="5" max="5" width="12.42578125" style="12" bestFit="1" customWidth="1"/>
    <col min="6" max="6" width="14.28515625" style="12" bestFit="1" customWidth="1"/>
    <col min="7" max="7" width="16.85546875" style="12" bestFit="1" customWidth="1"/>
    <col min="8" max="8" width="8.7109375" style="12" customWidth="1"/>
    <col min="9" max="9" width="10.7109375" style="12" bestFit="1" customWidth="1"/>
    <col min="10" max="10" width="8.7109375" style="12" customWidth="1"/>
    <col min="11" max="11" width="7.28515625" style="12" customWidth="1"/>
    <col min="12" max="12" width="13.5703125" style="12" customWidth="1"/>
    <col min="13" max="13" width="12.5703125" bestFit="1" customWidth="1"/>
    <col min="14" max="14" width="17.28515625" bestFit="1" customWidth="1"/>
    <col min="15" max="15" width="16.5703125" bestFit="1" customWidth="1"/>
    <col min="16" max="16" width="10.85546875" hidden="1" customWidth="1"/>
    <col min="18" max="18" width="17.28515625" bestFit="1" customWidth="1"/>
  </cols>
  <sheetData>
    <row r="1" spans="1:18" x14ac:dyDescent="0.25">
      <c r="A1" s="3" t="s">
        <v>26</v>
      </c>
      <c r="B1" s="9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506</v>
      </c>
      <c r="M1" s="13" t="s">
        <v>507</v>
      </c>
      <c r="N1" s="13" t="s">
        <v>508</v>
      </c>
      <c r="O1" s="11" t="s">
        <v>509</v>
      </c>
      <c r="P1" s="42" t="s">
        <v>6</v>
      </c>
    </row>
    <row r="2" spans="1:18" x14ac:dyDescent="0.25">
      <c r="A2" t="s">
        <v>37</v>
      </c>
      <c r="B2" s="10">
        <f>IFERROR(IFERROR(INT(VALUE(Raw_Data!B2)), DATE(RIGHT(TRIM(Raw_Data!B2),4), MID(TRIM(Raw_Data!B2),4,2), LEFT(TRIM(Raw_Data!B2),2))), "NA")</f>
        <v>46010</v>
      </c>
      <c r="C2" s="12" t="s">
        <v>38</v>
      </c>
      <c r="D2" s="12" t="str">
        <f>IF(OR(LOWER(TRIM(Raw_Data!D2))="north",LOWER(TRIM(Raw_Data!D2))="n.",LOWER(SUBSTITUTE(TRIM(Raw_Data!D2)," ",""))="north"),"North",IF(OR(LOWER(TRIM(Raw_Data!D2))="south",LOWER(TRIM(Raw_Data!D2))="s."),"South",IF(OR(LOWER(TRIM(Raw_Data!D2))="east",LOWER(TRIM(Raw_Data!D2))="e."),"East",IF(OR(LOWER(TRIM(Raw_Data!D2))="west",LOWER(TRIM(Raw_Data!D2))="w."),"West",IF(OR(LOWER(TRIM(Raw_Data!D2))="central",LOWER(TRIM(Raw_Data!D2))="c."),"Central","Unknown")))))</f>
        <v>North</v>
      </c>
      <c r="E2" s="12" t="s">
        <v>40</v>
      </c>
      <c r="F2" s="12" t="s">
        <v>41</v>
      </c>
      <c r="G2" s="12" t="s">
        <v>42</v>
      </c>
      <c r="H2" s="12">
        <f>IFERROR(VALUE(Raw_Data!H2),0)</f>
        <v>5</v>
      </c>
      <c r="I2" s="49">
        <f>IFERROR(VALUE(Raw_Data!I2),0)</f>
        <v>450</v>
      </c>
      <c r="J2" s="12">
        <f>IFERROR(VALUE(Raw_Data!J2),0)</f>
        <v>0.2</v>
      </c>
      <c r="K2" s="12" t="s">
        <v>43</v>
      </c>
      <c r="L2" s="12" t="str">
        <f>IF(COUNTIF($A$2:A2, A2)&gt;1, "Duplicate", "Valid")</f>
        <v>Valid</v>
      </c>
      <c r="M2" s="50">
        <f t="shared" ref="M2:M65" si="0">H2*I2*(1-J2)</f>
        <v>1800</v>
      </c>
      <c r="N2" t="str">
        <f>IF(COUNTIF($A$2:A2, A2)&gt;1, "Duplicate", IF(OR(B2="NA", ISERROR(B2), ISTEXT(B2)), "Invalid Date", IF(OR(C2=0, E2=0, H2=0, I2=0, J2=0), "Missing Data", "OK")))</f>
        <v>OK</v>
      </c>
      <c r="O2" t="str">
        <f>IFERROR(INDEX(Reps!$B:$B, MATCH(K2, Reps!$A:$A, 0)), "Not Found")</f>
        <v>Karan Mehta</v>
      </c>
      <c r="P2" t="str">
        <f t="shared" ref="P2:P65" si="1">IFERROR(TEXT(B2, "mmmm"),"")</f>
        <v>December</v>
      </c>
    </row>
    <row r="3" spans="1:18" x14ac:dyDescent="0.25">
      <c r="A3" t="s">
        <v>44</v>
      </c>
      <c r="B3" s="10">
        <f>IFERROR(IFERROR(INT(VALUE(Raw_Data!B3)), DATE(RIGHT(TRIM(Raw_Data!B3),4), MID(TRIM(Raw_Data!B3),4,2), LEFT(TRIM(Raw_Data!B3),2))), "NA")</f>
        <v>46725</v>
      </c>
      <c r="C3" s="12" t="s">
        <v>46</v>
      </c>
      <c r="D3" s="12" t="str">
        <f>IF(OR(LOWER(TRIM(Raw_Data!D3))="north",LOWER(TRIM(Raw_Data!D3))="n.",LOWER(SUBSTITUTE(TRIM(Raw_Data!D3)," ",""))="north"),"North",IF(OR(LOWER(TRIM(Raw_Data!D3))="south",LOWER(TRIM(Raw_Data!D3))="s."),"South",IF(OR(LOWER(TRIM(Raw_Data!D3))="east",LOWER(TRIM(Raw_Data!D3))="e."),"East",IF(OR(LOWER(TRIM(Raw_Data!D3))="west",LOWER(TRIM(Raw_Data!D3))="w."),"West",IF(OR(LOWER(TRIM(Raw_Data!D3))="central",LOWER(TRIM(Raw_Data!D3))="c."),"Central","Unknown")))))</f>
        <v>Central</v>
      </c>
      <c r="E3" s="12" t="s">
        <v>48</v>
      </c>
      <c r="F3" s="12" t="s">
        <v>49</v>
      </c>
      <c r="G3" s="12" t="s">
        <v>50</v>
      </c>
      <c r="H3" s="12">
        <f>IFERROR(VALUE(Raw_Data!H3),0)</f>
        <v>7</v>
      </c>
      <c r="I3" s="49">
        <f>IFERROR(VALUE(Raw_Data!I3),0)</f>
        <v>12000</v>
      </c>
      <c r="J3" s="12">
        <f>IFERROR(VALUE(Raw_Data!J3),0)</f>
        <v>0.1</v>
      </c>
      <c r="K3" s="12" t="s">
        <v>51</v>
      </c>
      <c r="L3" s="12" t="str">
        <f>IF(COUNTIF($A$2:A3, A3)&gt;1, "Duplicate", "Valid")</f>
        <v>Valid</v>
      </c>
      <c r="M3" s="50">
        <f t="shared" si="0"/>
        <v>75600</v>
      </c>
      <c r="N3" t="str">
        <f>IF(COUNTIF($A$2:A3, A3)&gt;1, "Duplicate", IF(OR(B3="NA", ISERROR(B3), ISTEXT(B3)), "Invalid Date", IF(OR(C3=0, E3=0, H3=0, I3=0, J3=0), "Missing Data", "OK")))</f>
        <v>OK</v>
      </c>
      <c r="O3" t="str">
        <f>IFERROR(INDEX(Reps!$B:$B, MATCH(K3, Reps!$A:$A, 0)), "Not Found")</f>
        <v>Priya Iyer</v>
      </c>
      <c r="P3" t="str">
        <f t="shared" si="1"/>
        <v>December</v>
      </c>
    </row>
    <row r="4" spans="1:18" x14ac:dyDescent="0.25">
      <c r="A4" t="s">
        <v>52</v>
      </c>
      <c r="B4" s="10">
        <f>IFERROR(IFERROR(INT(VALUE(Raw_Data!B4)), DATE(RIGHT(TRIM(Raw_Data!B4),4), MID(TRIM(Raw_Data!B4),4,2), LEFT(TRIM(Raw_Data!B4),2))), "NA")</f>
        <v>46128</v>
      </c>
      <c r="C4" s="12" t="s">
        <v>53</v>
      </c>
      <c r="D4" s="12" t="str">
        <f>IF(OR(LOWER(TRIM(Raw_Data!D4))="north",LOWER(TRIM(Raw_Data!D4))="n.",LOWER(SUBSTITUTE(TRIM(Raw_Data!D4)," ",""))="north"),"North",IF(OR(LOWER(TRIM(Raw_Data!D4))="south",LOWER(TRIM(Raw_Data!D4))="s."),"South",IF(OR(LOWER(TRIM(Raw_Data!D4))="east",LOWER(TRIM(Raw_Data!D4))="e."),"East",IF(OR(LOWER(TRIM(Raw_Data!D4))="west",LOWER(TRIM(Raw_Data!D4))="w."),"West",IF(OR(LOWER(TRIM(Raw_Data!D4))="central",LOWER(TRIM(Raw_Data!D4))="c."),"Central","Unknown")))))</f>
        <v>North</v>
      </c>
      <c r="E4" s="12" t="s">
        <v>55</v>
      </c>
      <c r="F4" s="12" t="s">
        <v>56</v>
      </c>
      <c r="G4" s="12" t="s">
        <v>57</v>
      </c>
      <c r="H4" s="12">
        <f>IFERROR(VALUE(Raw_Data!H4),0)</f>
        <v>12</v>
      </c>
      <c r="I4" s="49">
        <f>IFERROR(VALUE(Raw_Data!I4),0)</f>
        <v>65000</v>
      </c>
      <c r="J4" s="12">
        <f>IFERROR(VALUE(Raw_Data!J4),0)</f>
        <v>0.05</v>
      </c>
      <c r="K4" s="12" t="s">
        <v>51</v>
      </c>
      <c r="L4" s="12" t="str">
        <f>IF(COUNTIF($A$2:A4, A4)&gt;1, "Duplicate", "Valid")</f>
        <v>Valid</v>
      </c>
      <c r="M4" s="50">
        <f t="shared" si="0"/>
        <v>741000</v>
      </c>
      <c r="N4" t="str">
        <f>IF(COUNTIF($A$2:A4, A4)&gt;1, "Duplicate", IF(OR(B4="NA", ISERROR(B4), ISTEXT(B4)), "Invalid Date", IF(OR(C4=0, E4=0, H4=0, I4=0, J4=0), "Missing Data", "OK")))</f>
        <v>OK</v>
      </c>
      <c r="O4" t="str">
        <f>IFERROR(INDEX(Reps!$B:$B, MATCH(K4, Reps!$A:$A, 0)), "Not Found")</f>
        <v>Priya Iyer</v>
      </c>
      <c r="P4" t="str">
        <f t="shared" si="1"/>
        <v>April</v>
      </c>
    </row>
    <row r="5" spans="1:18" x14ac:dyDescent="0.25">
      <c r="A5" t="s">
        <v>58</v>
      </c>
      <c r="B5" s="10">
        <f>IFERROR(IFERROR(INT(VALUE(Raw_Data!B5)), DATE(RIGHT(TRIM(Raw_Data!B5),4), MID(TRIM(Raw_Data!B5),4,2), LEFT(TRIM(Raw_Data!B5),2))), "NA")</f>
        <v>46116</v>
      </c>
      <c r="C5" s="12" t="s">
        <v>60</v>
      </c>
      <c r="D5" s="12" t="str">
        <f>IF(OR(LOWER(TRIM(Raw_Data!D5))="north",LOWER(TRIM(Raw_Data!D5))="n.",LOWER(SUBSTITUTE(TRIM(Raw_Data!D5)," ",""))="north"),"North",IF(OR(LOWER(TRIM(Raw_Data!D5))="south",LOWER(TRIM(Raw_Data!D5))="s."),"South",IF(OR(LOWER(TRIM(Raw_Data!D5))="east",LOWER(TRIM(Raw_Data!D5))="e."),"East",IF(OR(LOWER(TRIM(Raw_Data!D5))="west",LOWER(TRIM(Raw_Data!D5))="w."),"West",IF(OR(LOWER(TRIM(Raw_Data!D5))="central",LOWER(TRIM(Raw_Data!D5))="c."),"Central","Unknown")))))</f>
        <v>East</v>
      </c>
      <c r="E5" s="12" t="s">
        <v>40</v>
      </c>
      <c r="F5" s="12" t="s">
        <v>41</v>
      </c>
      <c r="G5" s="12" t="s">
        <v>42</v>
      </c>
      <c r="H5" s="12">
        <f>IFERROR(VALUE(Raw_Data!H5),0)</f>
        <v>8</v>
      </c>
      <c r="I5" s="49">
        <f>IFERROR(VALUE(Raw_Data!I5),0)</f>
        <v>450</v>
      </c>
      <c r="J5" s="12">
        <f>IFERROR(VALUE(Raw_Data!J5),0)</f>
        <v>0.2</v>
      </c>
      <c r="K5" s="12" t="s">
        <v>51</v>
      </c>
      <c r="L5" s="12" t="str">
        <f>IF(COUNTIF($A$2:A5, A5)&gt;1, "Duplicate", "Valid")</f>
        <v>Valid</v>
      </c>
      <c r="M5" s="50">
        <f t="shared" si="0"/>
        <v>2880</v>
      </c>
      <c r="N5" t="str">
        <f>IF(COUNTIF($A$2:A5, A5)&gt;1, "Duplicate", IF(OR(B5="NA", ISERROR(B5), ISTEXT(B5)), "Invalid Date", IF(OR(C5=0, E5=0, H5=0, I5=0, J5=0), "Missing Data", "OK")))</f>
        <v>OK</v>
      </c>
      <c r="O5" t="str">
        <f>IFERROR(INDEX(Reps!$B:$B, MATCH(K5, Reps!$A:$A, 0)), "Not Found")</f>
        <v>Priya Iyer</v>
      </c>
      <c r="P5" t="str">
        <f t="shared" si="1"/>
        <v>April</v>
      </c>
    </row>
    <row r="6" spans="1:18" x14ac:dyDescent="0.25">
      <c r="A6" t="s">
        <v>62</v>
      </c>
      <c r="B6" s="10">
        <f>IFERROR(IFERROR(INT(VALUE(Raw_Data!B6)), DATE(RIGHT(TRIM(Raw_Data!B6),4), MID(TRIM(Raw_Data!B6),4,2), LEFT(TRIM(Raw_Data!B6),2))), "NA")</f>
        <v>46602</v>
      </c>
      <c r="C6" s="12" t="s">
        <v>64</v>
      </c>
      <c r="D6" s="12" t="str">
        <f>IF(OR(LOWER(TRIM(Raw_Data!D6))="north",LOWER(TRIM(Raw_Data!D6))="n.",LOWER(SUBSTITUTE(TRIM(Raw_Data!D6)," ",""))="north"),"North",IF(OR(LOWER(TRIM(Raw_Data!D6))="south",LOWER(TRIM(Raw_Data!D6))="s."),"South",IF(OR(LOWER(TRIM(Raw_Data!D6))="east",LOWER(TRIM(Raw_Data!D6))="e."),"East",IF(OR(LOWER(TRIM(Raw_Data!D6))="west",LOWER(TRIM(Raw_Data!D6))="w."),"West",IF(OR(LOWER(TRIM(Raw_Data!D6))="central",LOWER(TRIM(Raw_Data!D6))="c."),"Central","Unknown")))))</f>
        <v>West</v>
      </c>
      <c r="E6" s="12" t="s">
        <v>40</v>
      </c>
      <c r="F6" s="12" t="s">
        <v>41</v>
      </c>
      <c r="G6" s="12" t="s">
        <v>42</v>
      </c>
      <c r="H6" s="12">
        <f>IFERROR(VALUE(Raw_Data!H6),0)</f>
        <v>10</v>
      </c>
      <c r="I6" s="49">
        <f>IFERROR(VALUE(Raw_Data!I6),0)</f>
        <v>450</v>
      </c>
      <c r="J6" s="12">
        <f>IFERROR(VALUE(Raw_Data!J6),0)</f>
        <v>0.2</v>
      </c>
      <c r="K6" s="12" t="s">
        <v>51</v>
      </c>
      <c r="L6" s="12" t="str">
        <f>IF(COUNTIF($A$2:A6, A6)&gt;1, "Duplicate", "Valid")</f>
        <v>Valid</v>
      </c>
      <c r="M6" s="50">
        <f t="shared" si="0"/>
        <v>3600</v>
      </c>
      <c r="N6" t="str">
        <f>IF(COUNTIF($A$2:A6, A6)&gt;1, "Duplicate", IF(OR(B6="NA", ISERROR(B6), ISTEXT(B6)), "Invalid Date", IF(OR(C6=0, E6=0, H6=0, I6=0, J6=0), "Missing Data", "OK")))</f>
        <v>OK</v>
      </c>
      <c r="O6" t="str">
        <f>IFERROR(INDEX(Reps!$B:$B, MATCH(K6, Reps!$A:$A, 0)), "Not Found")</f>
        <v>Priya Iyer</v>
      </c>
      <c r="P6" t="str">
        <f t="shared" si="1"/>
        <v>August</v>
      </c>
    </row>
    <row r="7" spans="1:18" x14ac:dyDescent="0.25">
      <c r="A7" t="s">
        <v>66</v>
      </c>
      <c r="B7" s="10">
        <f>IFERROR(IFERROR(INT(VALUE(Raw_Data!B7)), DATE(RIGHT(TRIM(Raw_Data!B7),4), MID(TRIM(Raw_Data!B7),4,2), LEFT(TRIM(Raw_Data!B7),2))), "NA")</f>
        <v>46132</v>
      </c>
      <c r="C7" s="12" t="s">
        <v>68</v>
      </c>
      <c r="D7" s="12" t="str">
        <f>IF(OR(LOWER(TRIM(Raw_Data!D7))="north",LOWER(TRIM(Raw_Data!D7))="n.",LOWER(SUBSTITUTE(TRIM(Raw_Data!D7)," ",""))="north"),"North",IF(OR(LOWER(TRIM(Raw_Data!D7))="south",LOWER(TRIM(Raw_Data!D7))="s."),"South",IF(OR(LOWER(TRIM(Raw_Data!D7))="east",LOWER(TRIM(Raw_Data!D7))="e."),"East",IF(OR(LOWER(TRIM(Raw_Data!D7))="west",LOWER(TRIM(Raw_Data!D7))="w."),"West",IF(OR(LOWER(TRIM(Raw_Data!D7))="central",LOWER(TRIM(Raw_Data!D7))="c."),"Central","Unknown")))))</f>
        <v>East</v>
      </c>
      <c r="E7" s="12" t="s">
        <v>48</v>
      </c>
      <c r="F7" s="12" t="s">
        <v>49</v>
      </c>
      <c r="G7" s="12" t="s">
        <v>50</v>
      </c>
      <c r="H7" s="12">
        <f>IFERROR(VALUE(Raw_Data!H7),0)</f>
        <v>7</v>
      </c>
      <c r="I7" s="49">
        <f>IFERROR(VALUE(Raw_Data!I7),0)</f>
        <v>12000</v>
      </c>
      <c r="J7" s="12">
        <f>IFERROR(VALUE(Raw_Data!J7),0)</f>
        <v>0.15</v>
      </c>
      <c r="K7" s="12" t="s">
        <v>70</v>
      </c>
      <c r="L7" s="12" t="str">
        <f>IF(COUNTIF($A$2:A7, A7)&gt;1, "Duplicate", "Valid")</f>
        <v>Valid</v>
      </c>
      <c r="M7" s="50">
        <f t="shared" si="0"/>
        <v>71400</v>
      </c>
      <c r="N7" t="str">
        <f>IF(COUNTIF($A$2:A7, A7)&gt;1, "Duplicate", IF(OR(B7="NA", ISERROR(B7), ISTEXT(B7)), "Invalid Date", IF(OR(C7=0, E7=0, H7=0, I7=0, J7=0), "Missing Data", "OK")))</f>
        <v>OK</v>
      </c>
      <c r="O7" t="str">
        <f>IFERROR(INDEX(Reps!$B:$B, MATCH(K7, Reps!$A:$A, 0)), "Not Found")</f>
        <v>Vikram Nair</v>
      </c>
      <c r="P7" t="str">
        <f t="shared" si="1"/>
        <v>April</v>
      </c>
      <c r="R7" s="4"/>
    </row>
    <row r="8" spans="1:18" x14ac:dyDescent="0.25">
      <c r="A8" t="s">
        <v>71</v>
      </c>
      <c r="B8" s="10">
        <f>IFERROR(IFERROR(INT(VALUE(Raw_Data!B8)), DATE(RIGHT(TRIM(Raw_Data!B8),4), MID(TRIM(Raw_Data!B8),4,2), LEFT(TRIM(Raw_Data!B8),2))), "NA")</f>
        <v>46127</v>
      </c>
      <c r="C8" s="12" t="s">
        <v>73</v>
      </c>
      <c r="D8" s="12" t="str">
        <f>IF(OR(LOWER(TRIM(Raw_Data!D8))="north",LOWER(TRIM(Raw_Data!D8))="n.",LOWER(SUBSTITUTE(TRIM(Raw_Data!D8)," ",""))="north"),"North",IF(OR(LOWER(TRIM(Raw_Data!D8))="south",LOWER(TRIM(Raw_Data!D8))="s."),"South",IF(OR(LOWER(TRIM(Raw_Data!D8))="east",LOWER(TRIM(Raw_Data!D8))="e."),"East",IF(OR(LOWER(TRIM(Raw_Data!D8))="west",LOWER(TRIM(Raw_Data!D8))="w."),"West",IF(OR(LOWER(TRIM(Raw_Data!D8))="central",LOWER(TRIM(Raw_Data!D8))="c."),"Central","Unknown")))))</f>
        <v>East</v>
      </c>
      <c r="E8" s="12" t="s">
        <v>55</v>
      </c>
      <c r="F8" s="12" t="s">
        <v>56</v>
      </c>
      <c r="G8" s="12" t="s">
        <v>57</v>
      </c>
      <c r="H8" s="12">
        <f>IFERROR(VALUE(Raw_Data!H8),0)</f>
        <v>6</v>
      </c>
      <c r="I8" s="49">
        <f>IFERROR(VALUE(Raw_Data!I8),0)</f>
        <v>65000</v>
      </c>
      <c r="J8" s="12">
        <f>IFERROR(VALUE(Raw_Data!J8),0)</f>
        <v>0.2</v>
      </c>
      <c r="K8" s="12" t="s">
        <v>74</v>
      </c>
      <c r="L8" s="12" t="str">
        <f>IF(COUNTIF($A$2:A8, A8)&gt;1, "Duplicate", "Valid")</f>
        <v>Valid</v>
      </c>
      <c r="M8" s="50">
        <f t="shared" si="0"/>
        <v>312000</v>
      </c>
      <c r="N8" t="str">
        <f>IF(COUNTIF($A$2:A8, A8)&gt;1, "Duplicate", IF(OR(B8="NA", ISERROR(B8), ISTEXT(B8)), "Invalid Date", IF(OR(C8=0, E8=0, H8=0, I8=0, J8=0), "Missing Data", "OK")))</f>
        <v>OK</v>
      </c>
      <c r="O8" t="str">
        <f>IFERROR(INDEX(Reps!$B:$B, MATCH(K8, Reps!$A:$A, 0)), "Not Found")</f>
        <v>Rahul Verma</v>
      </c>
      <c r="P8" t="str">
        <f t="shared" si="1"/>
        <v>April</v>
      </c>
    </row>
    <row r="9" spans="1:18" x14ac:dyDescent="0.25">
      <c r="A9" t="s">
        <v>75</v>
      </c>
      <c r="B9" s="10">
        <f>IFERROR(IFERROR(INT(VALUE(Raw_Data!B9)), DATE(RIGHT(TRIM(Raw_Data!B9),4), MID(TRIM(Raw_Data!B9),4,2), LEFT(TRIM(Raw_Data!B9),2))), "NA")</f>
        <v>46036</v>
      </c>
      <c r="C9" s="12" t="s">
        <v>76</v>
      </c>
      <c r="D9" s="12" t="str">
        <f>IF(OR(LOWER(TRIM(Raw_Data!D9))="north",LOWER(TRIM(Raw_Data!D9))="n.",LOWER(SUBSTITUTE(TRIM(Raw_Data!D9)," ",""))="north"),"North",IF(OR(LOWER(TRIM(Raw_Data!D9))="south",LOWER(TRIM(Raw_Data!D9))="s."),"South",IF(OR(LOWER(TRIM(Raw_Data!D9))="east",LOWER(TRIM(Raw_Data!D9))="e."),"East",IF(OR(LOWER(TRIM(Raw_Data!D9))="west",LOWER(TRIM(Raw_Data!D9))="w."),"West",IF(OR(LOWER(TRIM(Raw_Data!D9))="central",LOWER(TRIM(Raw_Data!D9))="c."),"Central","Unknown")))))</f>
        <v>North</v>
      </c>
      <c r="E9" s="12" t="s">
        <v>77</v>
      </c>
      <c r="F9" s="12" t="s">
        <v>78</v>
      </c>
      <c r="G9" s="12" t="s">
        <v>57</v>
      </c>
      <c r="H9" s="12">
        <f>IFERROR(VALUE(Raw_Data!H9),0)</f>
        <v>12</v>
      </c>
      <c r="I9" s="49">
        <f>IFERROR(VALUE(Raw_Data!I9),0)</f>
        <v>3500</v>
      </c>
      <c r="J9" s="12">
        <f>IFERROR(VALUE(Raw_Data!J9),0)</f>
        <v>0.1</v>
      </c>
      <c r="K9" s="12" t="s">
        <v>79</v>
      </c>
      <c r="L9" s="12" t="str">
        <f>IF(COUNTIF($A$2:A9, A9)&gt;1, "Duplicate", "Valid")</f>
        <v>Valid</v>
      </c>
      <c r="M9" s="50">
        <f t="shared" si="0"/>
        <v>37800</v>
      </c>
      <c r="N9" t="str">
        <f>IF(COUNTIF($A$2:A9, A9)&gt;1, "Duplicate", IF(OR(B9="NA", ISERROR(B9), ISTEXT(B9)), "Invalid Date", IF(OR(C9=0, E9=0, H9=0, I9=0, J9=0), "Missing Data", "OK")))</f>
        <v>OK</v>
      </c>
      <c r="O9" t="str">
        <f>IFERROR(INDEX(Reps!$B:$B, MATCH(K9, Reps!$A:$A, 0)), "Not Found")</f>
        <v>Sneha Reddy</v>
      </c>
      <c r="P9" t="str">
        <f t="shared" si="1"/>
        <v>January</v>
      </c>
    </row>
    <row r="10" spans="1:18" x14ac:dyDescent="0.25">
      <c r="A10" t="s">
        <v>80</v>
      </c>
      <c r="B10" s="10">
        <f>IFERROR(IFERROR(INT(VALUE(Raw_Data!B10)), DATE(RIGHT(TRIM(Raw_Data!B10),4), MID(TRIM(Raw_Data!B10),4,2), LEFT(TRIM(Raw_Data!B10),2))), "NA")</f>
        <v>46023</v>
      </c>
      <c r="C10" s="12" t="s">
        <v>82</v>
      </c>
      <c r="D10" s="12" t="str">
        <f>IF(OR(LOWER(TRIM(Raw_Data!D10))="north",LOWER(TRIM(Raw_Data!D10))="n.",LOWER(SUBSTITUTE(TRIM(Raw_Data!D10)," ",""))="north"),"North",IF(OR(LOWER(TRIM(Raw_Data!D10))="south",LOWER(TRIM(Raw_Data!D10))="s."),"South",IF(OR(LOWER(TRIM(Raw_Data!D10))="east",LOWER(TRIM(Raw_Data!D10))="e."),"East",IF(OR(LOWER(TRIM(Raw_Data!D10))="west",LOWER(TRIM(Raw_Data!D10))="w."),"West",IF(OR(LOWER(TRIM(Raw_Data!D10))="central",LOWER(TRIM(Raw_Data!D10))="c."),"Central","Unknown")))))</f>
        <v>West</v>
      </c>
      <c r="E10" s="12" t="s">
        <v>55</v>
      </c>
      <c r="F10" s="12" t="s">
        <v>56</v>
      </c>
      <c r="G10" s="12" t="s">
        <v>57</v>
      </c>
      <c r="H10" s="12">
        <f>IFERROR(VALUE(Raw_Data!H10),0)</f>
        <v>6</v>
      </c>
      <c r="I10" s="49">
        <f>IFERROR(VALUE(Raw_Data!I10),0)</f>
        <v>65000</v>
      </c>
      <c r="J10" s="12">
        <f>IFERROR(VALUE(Raw_Data!J10),0)</f>
        <v>0.2</v>
      </c>
      <c r="K10" s="12" t="s">
        <v>70</v>
      </c>
      <c r="L10" s="12" t="str">
        <f>IF(COUNTIF($A$2:A10, A10)&gt;1, "Duplicate", "Valid")</f>
        <v>Valid</v>
      </c>
      <c r="M10" s="50">
        <f t="shared" si="0"/>
        <v>312000</v>
      </c>
      <c r="N10" t="str">
        <f>IF(COUNTIF($A$2:A10, A10)&gt;1, "Duplicate", IF(OR(B10="NA", ISERROR(B10), ISTEXT(B10)), "Invalid Date", IF(OR(C10=0, E10=0, H10=0, I10=0, J10=0), "Missing Data", "OK")))</f>
        <v>OK</v>
      </c>
      <c r="O10" t="str">
        <f>IFERROR(INDEX(Reps!$B:$B, MATCH(K10, Reps!$A:$A, 0)), "Not Found")</f>
        <v>Vikram Nair</v>
      </c>
      <c r="P10" t="str">
        <f t="shared" si="1"/>
        <v>January</v>
      </c>
    </row>
    <row r="11" spans="1:18" x14ac:dyDescent="0.25">
      <c r="A11" t="s">
        <v>84</v>
      </c>
      <c r="B11" s="10">
        <f>IFERROR(IFERROR(INT(VALUE(Raw_Data!B11)), DATE(RIGHT(TRIM(Raw_Data!B11),4), MID(TRIM(Raw_Data!B11),4,2), LEFT(TRIM(Raw_Data!B11),2))), "NA")</f>
        <v>45820</v>
      </c>
      <c r="C11" s="12" t="s">
        <v>82</v>
      </c>
      <c r="D11" s="12" t="str">
        <f>IF(OR(LOWER(TRIM(Raw_Data!D11))="north",LOWER(TRIM(Raw_Data!D11))="n.",LOWER(SUBSTITUTE(TRIM(Raw_Data!D11)," ",""))="north"),"North",IF(OR(LOWER(TRIM(Raw_Data!D11))="south",LOWER(TRIM(Raw_Data!D11))="s."),"South",IF(OR(LOWER(TRIM(Raw_Data!D11))="east",LOWER(TRIM(Raw_Data!D11))="e."),"East",IF(OR(LOWER(TRIM(Raw_Data!D11))="west",LOWER(TRIM(Raw_Data!D11))="w."),"West",IF(OR(LOWER(TRIM(Raw_Data!D11))="central",LOWER(TRIM(Raw_Data!D11))="c."),"Central","Unknown")))))</f>
        <v>East</v>
      </c>
      <c r="E11" s="12" t="s">
        <v>48</v>
      </c>
      <c r="F11" s="12" t="s">
        <v>49</v>
      </c>
      <c r="G11" s="12" t="s">
        <v>50</v>
      </c>
      <c r="H11" s="12">
        <f>IFERROR(VALUE(Raw_Data!H11),0)</f>
        <v>12</v>
      </c>
      <c r="I11" s="49">
        <f>IFERROR(VALUE(Raw_Data!I11),0)</f>
        <v>12000</v>
      </c>
      <c r="J11" s="12">
        <f>IFERROR(VALUE(Raw_Data!J11),0)</f>
        <v>0.2</v>
      </c>
      <c r="K11" s="12" t="s">
        <v>43</v>
      </c>
      <c r="L11" s="12" t="str">
        <f>IF(COUNTIF($A$2:A11, A11)&gt;1, "Duplicate", "Valid")</f>
        <v>Valid</v>
      </c>
      <c r="M11" s="50">
        <f t="shared" si="0"/>
        <v>115200</v>
      </c>
      <c r="N11" t="str">
        <f>IF(COUNTIF($A$2:A11, A11)&gt;1, "Duplicate", IF(OR(B11="NA", ISERROR(B11), ISTEXT(B11)), "Invalid Date", IF(OR(C11=0, E11=0, H11=0, I11=0, J11=0), "Missing Data", "OK")))</f>
        <v>OK</v>
      </c>
      <c r="O11" t="str">
        <f>IFERROR(INDEX(Reps!$B:$B, MATCH(K11, Reps!$A:$A, 0)), "Not Found")</f>
        <v>Karan Mehta</v>
      </c>
      <c r="P11" t="str">
        <f t="shared" si="1"/>
        <v>June</v>
      </c>
    </row>
    <row r="12" spans="1:18" x14ac:dyDescent="0.25">
      <c r="A12" t="s">
        <v>87</v>
      </c>
      <c r="B12" s="10">
        <f>IFERROR(IFERROR(INT(VALUE(Raw_Data!B12)), DATE(RIGHT(TRIM(Raw_Data!B12),4), MID(TRIM(Raw_Data!B12),4,2), LEFT(TRIM(Raw_Data!B12),2))), "NA")</f>
        <v>46010</v>
      </c>
      <c r="C12" s="12" t="s">
        <v>88</v>
      </c>
      <c r="D12" s="12" t="str">
        <f>IF(OR(LOWER(TRIM(Raw_Data!D12))="north",LOWER(TRIM(Raw_Data!D12))="n.",LOWER(SUBSTITUTE(TRIM(Raw_Data!D12)," ",""))="north"),"North",IF(OR(LOWER(TRIM(Raw_Data!D12))="south",LOWER(TRIM(Raw_Data!D12))="s."),"South",IF(OR(LOWER(TRIM(Raw_Data!D12))="east",LOWER(TRIM(Raw_Data!D12))="e."),"East",IF(OR(LOWER(TRIM(Raw_Data!D12))="west",LOWER(TRIM(Raw_Data!D12))="w."),"West",IF(OR(LOWER(TRIM(Raw_Data!D12))="central",LOWER(TRIM(Raw_Data!D12))="c."),"Central","Unknown")))))</f>
        <v>North</v>
      </c>
      <c r="E12" s="12" t="s">
        <v>89</v>
      </c>
      <c r="F12" s="12" t="s">
        <v>90</v>
      </c>
      <c r="G12" s="12" t="s">
        <v>91</v>
      </c>
      <c r="H12" s="12">
        <f>IFERROR(VALUE(Raw_Data!H12),0)</f>
        <v>12</v>
      </c>
      <c r="I12" s="49">
        <f>IFERROR(VALUE(Raw_Data!I12),0)</f>
        <v>2200</v>
      </c>
      <c r="J12" s="12">
        <f>IFERROR(VALUE(Raw_Data!J12),0)</f>
        <v>0</v>
      </c>
      <c r="K12" s="12" t="s">
        <v>79</v>
      </c>
      <c r="L12" s="12" t="str">
        <f>IF(COUNTIF($A$2:A12, A12)&gt;1, "Duplicate", "Valid")</f>
        <v>Valid</v>
      </c>
      <c r="M12" s="50">
        <f t="shared" si="0"/>
        <v>26400</v>
      </c>
      <c r="N12" t="str">
        <f>IF(COUNTIF($A$2:A12, A12)&gt;1, "Duplicate", IF(OR(B12="NA", ISERROR(B12), ISTEXT(B12)), "Invalid Date", IF(OR(C12=0, E12=0, H12=0, I12=0, J12=0), "Missing Data", "OK")))</f>
        <v>Missing Data</v>
      </c>
      <c r="O12" t="str">
        <f>IFERROR(INDEX(Reps!$B:$B, MATCH(K12, Reps!$A:$A, 0)), "Not Found")</f>
        <v>Sneha Reddy</v>
      </c>
      <c r="P12" t="str">
        <f t="shared" si="1"/>
        <v>December</v>
      </c>
    </row>
    <row r="13" spans="1:18" x14ac:dyDescent="0.25">
      <c r="A13" t="s">
        <v>92</v>
      </c>
      <c r="B13" s="10">
        <f>IFERROR(IFERROR(INT(VALUE(Raw_Data!B13)), DATE(RIGHT(TRIM(Raw_Data!B13),4), MID(TRIM(Raw_Data!B13),4,2), LEFT(TRIM(Raw_Data!B13),2))), "NA")</f>
        <v>46014</v>
      </c>
      <c r="C13" s="12" t="s">
        <v>93</v>
      </c>
      <c r="D13" s="12" t="str">
        <f>IF(OR(LOWER(TRIM(Raw_Data!D13))="north",LOWER(TRIM(Raw_Data!D13))="n.",LOWER(SUBSTITUTE(TRIM(Raw_Data!D13)," ",""))="north"),"North",IF(OR(LOWER(TRIM(Raw_Data!D13))="south",LOWER(TRIM(Raw_Data!D13))="s."),"South",IF(OR(LOWER(TRIM(Raw_Data!D13))="east",LOWER(TRIM(Raw_Data!D13))="e."),"East",IF(OR(LOWER(TRIM(Raw_Data!D13))="west",LOWER(TRIM(Raw_Data!D13))="w."),"West",IF(OR(LOWER(TRIM(Raw_Data!D13))="central",LOWER(TRIM(Raw_Data!D13))="c."),"Central","Unknown")))))</f>
        <v>North</v>
      </c>
      <c r="E13" s="12" t="s">
        <v>40</v>
      </c>
      <c r="F13" s="12" t="s">
        <v>41</v>
      </c>
      <c r="G13" s="12" t="s">
        <v>42</v>
      </c>
      <c r="H13" s="12">
        <f>IFERROR(VALUE(Raw_Data!H13),0)</f>
        <v>12</v>
      </c>
      <c r="I13" s="49">
        <f>IFERROR(VALUE(Raw_Data!I13),0)</f>
        <v>450</v>
      </c>
      <c r="J13" s="12">
        <f>IFERROR(VALUE(Raw_Data!J13),0)</f>
        <v>0.2</v>
      </c>
      <c r="K13" s="12" t="s">
        <v>74</v>
      </c>
      <c r="L13" s="12" t="str">
        <f>IF(COUNTIF($A$2:A13, A13)&gt;1, "Duplicate", "Valid")</f>
        <v>Valid</v>
      </c>
      <c r="M13" s="50">
        <f t="shared" si="0"/>
        <v>4320</v>
      </c>
      <c r="N13" t="str">
        <f>IF(COUNTIF($A$2:A13, A13)&gt;1, "Duplicate", IF(OR(B13="NA", ISERROR(B13), ISTEXT(B13)), "Invalid Date", IF(OR(C13=0, E13=0, H13=0, I13=0, J13=0), "Missing Data", "OK")))</f>
        <v>OK</v>
      </c>
      <c r="O13" t="str">
        <f>IFERROR(INDEX(Reps!$B:$B, MATCH(K13, Reps!$A:$A, 0)), "Not Found")</f>
        <v>Rahul Verma</v>
      </c>
      <c r="P13" t="str">
        <f t="shared" si="1"/>
        <v>December</v>
      </c>
    </row>
    <row r="14" spans="1:18" x14ac:dyDescent="0.25">
      <c r="A14" t="s">
        <v>95</v>
      </c>
      <c r="B14" s="10">
        <f>IFERROR(IFERROR(INT(VALUE(Raw_Data!B14)), DATE(RIGHT(TRIM(Raw_Data!B14),4), MID(TRIM(Raw_Data!B14),4,2), LEFT(TRIM(Raw_Data!B14),2))), "NA")</f>
        <v>46877</v>
      </c>
      <c r="C14" s="12" t="s">
        <v>97</v>
      </c>
      <c r="D14" s="12" t="str">
        <f>IF(OR(LOWER(TRIM(Raw_Data!D14))="north",LOWER(TRIM(Raw_Data!D14))="n.",LOWER(SUBSTITUTE(TRIM(Raw_Data!D14)," ",""))="north"),"North",IF(OR(LOWER(TRIM(Raw_Data!D14))="south",LOWER(TRIM(Raw_Data!D14))="s."),"South",IF(OR(LOWER(TRIM(Raw_Data!D14))="east",LOWER(TRIM(Raw_Data!D14))="e."),"East",IF(OR(LOWER(TRIM(Raw_Data!D14))="west",LOWER(TRIM(Raw_Data!D14))="w."),"West",IF(OR(LOWER(TRIM(Raw_Data!D14))="central",LOWER(TRIM(Raw_Data!D14))="c."),"Central","Unknown")))))</f>
        <v>Unknown</v>
      </c>
      <c r="E14" s="12" t="s">
        <v>98</v>
      </c>
      <c r="F14" s="12" t="s">
        <v>99</v>
      </c>
      <c r="G14" s="12" t="s">
        <v>50</v>
      </c>
      <c r="H14" s="12">
        <f>IFERROR(VALUE(Raw_Data!H14),0)</f>
        <v>2</v>
      </c>
      <c r="I14" s="49">
        <f>IFERROR(VALUE(Raw_Data!I14),0)</f>
        <v>28000</v>
      </c>
      <c r="J14" s="12">
        <f>IFERROR(VALUE(Raw_Data!J14),0)</f>
        <v>0</v>
      </c>
      <c r="K14" s="12" t="s">
        <v>43</v>
      </c>
      <c r="L14" s="12" t="str">
        <f>IF(COUNTIF($A$2:A14, A14)&gt;1, "Duplicate", "Valid")</f>
        <v>Valid</v>
      </c>
      <c r="M14" s="50">
        <f t="shared" si="0"/>
        <v>56000</v>
      </c>
      <c r="N14" t="str">
        <f>IF(COUNTIF($A$2:A14, A14)&gt;1, "Duplicate", IF(OR(B14="NA", ISERROR(B14), ISTEXT(B14)), "Invalid Date", IF(OR(C14=0, E14=0, H14=0, I14=0, J14=0), "Missing Data", "OK")))</f>
        <v>Missing Data</v>
      </c>
      <c r="O14" t="str">
        <f>IFERROR(INDEX(Reps!$B:$B, MATCH(K14, Reps!$A:$A, 0)), "Not Found")</f>
        <v>Karan Mehta</v>
      </c>
      <c r="P14" t="str">
        <f t="shared" si="1"/>
        <v>May</v>
      </c>
    </row>
    <row r="15" spans="1:18" x14ac:dyDescent="0.25">
      <c r="A15" t="s">
        <v>100</v>
      </c>
      <c r="B15" s="10">
        <f>IFERROR(IFERROR(INT(VALUE(Raw_Data!B15)), DATE(RIGHT(TRIM(Raw_Data!B15),4), MID(TRIM(Raw_Data!B15),4,2), LEFT(TRIM(Raw_Data!B15),2))), "NA")</f>
        <v>45965</v>
      </c>
      <c r="C15" s="12" t="s">
        <v>53</v>
      </c>
      <c r="D15" s="12" t="str">
        <f>IF(OR(LOWER(TRIM(Raw_Data!D15))="north",LOWER(TRIM(Raw_Data!D15))="n.",LOWER(SUBSTITUTE(TRIM(Raw_Data!D15)," ",""))="north"),"North",IF(OR(LOWER(TRIM(Raw_Data!D15))="south",LOWER(TRIM(Raw_Data!D15))="s."),"South",IF(OR(LOWER(TRIM(Raw_Data!D15))="east",LOWER(TRIM(Raw_Data!D15))="e."),"East",IF(OR(LOWER(TRIM(Raw_Data!D15))="west",LOWER(TRIM(Raw_Data!D15))="w."),"West",IF(OR(LOWER(TRIM(Raw_Data!D15))="central",LOWER(TRIM(Raw_Data!D15))="c."),"Central","Unknown")))))</f>
        <v>Central</v>
      </c>
      <c r="E15" s="12" t="s">
        <v>40</v>
      </c>
      <c r="F15" s="12" t="s">
        <v>41</v>
      </c>
      <c r="G15" s="12" t="s">
        <v>42</v>
      </c>
      <c r="H15" s="12">
        <f>IFERROR(VALUE(Raw_Data!H15),0)</f>
        <v>1</v>
      </c>
      <c r="I15" s="49">
        <f>IFERROR(VALUE(Raw_Data!I15),0)</f>
        <v>450</v>
      </c>
      <c r="J15" s="12">
        <f>IFERROR(VALUE(Raw_Data!J15),0)</f>
        <v>0.25</v>
      </c>
      <c r="K15" s="12" t="s">
        <v>102</v>
      </c>
      <c r="L15" s="12" t="str">
        <f>IF(COUNTIF($A$2:A15, A15)&gt;1, "Duplicate", "Valid")</f>
        <v>Valid</v>
      </c>
      <c r="M15" s="50">
        <f t="shared" si="0"/>
        <v>337.5</v>
      </c>
      <c r="N15" t="str">
        <f>IF(COUNTIF($A$2:A15, A15)&gt;1, "Duplicate", IF(OR(B15="NA", ISERROR(B15), ISTEXT(B15)), "Invalid Date", IF(OR(C15=0, E15=0, H15=0, I15=0, J15=0), "Missing Data", "OK")))</f>
        <v>OK</v>
      </c>
      <c r="O15" t="str">
        <f>IFERROR(INDEX(Reps!$B:$B, MATCH(K15, Reps!$A:$A, 0)), "Not Found")</f>
        <v>Anita Sharma</v>
      </c>
      <c r="P15" t="str">
        <f t="shared" si="1"/>
        <v>November</v>
      </c>
    </row>
    <row r="16" spans="1:18" x14ac:dyDescent="0.25">
      <c r="A16" t="s">
        <v>103</v>
      </c>
      <c r="B16" s="10">
        <f>IFERROR(IFERROR(INT(VALUE(Raw_Data!B16)), DATE(RIGHT(TRIM(Raw_Data!B16),4), MID(TRIM(Raw_Data!B16),4,2), LEFT(TRIM(Raw_Data!B16),2))), "NA")</f>
        <v>45997</v>
      </c>
      <c r="C16" s="12" t="s">
        <v>60</v>
      </c>
      <c r="D16" s="12" t="str">
        <f>IF(OR(LOWER(TRIM(Raw_Data!D16))="north",LOWER(TRIM(Raw_Data!D16))="n.",LOWER(SUBSTITUTE(TRIM(Raw_Data!D16)," ",""))="north"),"North",IF(OR(LOWER(TRIM(Raw_Data!D16))="south",LOWER(TRIM(Raw_Data!D16))="s."),"South",IF(OR(LOWER(TRIM(Raw_Data!D16))="east",LOWER(TRIM(Raw_Data!D16))="e."),"East",IF(OR(LOWER(TRIM(Raw_Data!D16))="west",LOWER(TRIM(Raw_Data!D16))="w."),"West",IF(OR(LOWER(TRIM(Raw_Data!D16))="central",LOWER(TRIM(Raw_Data!D16))="c."),"Central","Unknown")))))</f>
        <v>Unknown</v>
      </c>
      <c r="E16" s="12" t="s">
        <v>55</v>
      </c>
      <c r="F16" s="12" t="s">
        <v>56</v>
      </c>
      <c r="G16" s="12" t="s">
        <v>57</v>
      </c>
      <c r="H16" s="12">
        <f>IFERROR(VALUE(Raw_Data!H16),0)</f>
        <v>2</v>
      </c>
      <c r="I16" s="49">
        <f>IFERROR(VALUE(Raw_Data!I16),0)</f>
        <v>0</v>
      </c>
      <c r="J16" s="12">
        <f>IFERROR(VALUE(Raw_Data!J16),0)</f>
        <v>0</v>
      </c>
      <c r="K16" s="12" t="s">
        <v>74</v>
      </c>
      <c r="L16" s="12" t="str">
        <f>IF(COUNTIF($A$2:A16, A16)&gt;1, "Duplicate", "Valid")</f>
        <v>Valid</v>
      </c>
      <c r="M16" s="50">
        <f t="shared" si="0"/>
        <v>0</v>
      </c>
      <c r="N16" t="str">
        <f>IF(COUNTIF($A$2:A16, A16)&gt;1, "Duplicate", IF(OR(B16="NA", ISERROR(B16), ISTEXT(B16)), "Invalid Date", IF(OR(C16=0, E16=0, H16=0, I16=0, J16=0), "Missing Data", "OK")))</f>
        <v>Missing Data</v>
      </c>
      <c r="O16" t="str">
        <f>IFERROR(INDEX(Reps!$B:$B, MATCH(K16, Reps!$A:$A, 0)), "Not Found")</f>
        <v>Rahul Verma</v>
      </c>
      <c r="P16" t="str">
        <f t="shared" si="1"/>
        <v>December</v>
      </c>
    </row>
    <row r="17" spans="1:16" x14ac:dyDescent="0.25">
      <c r="A17" t="s">
        <v>106</v>
      </c>
      <c r="B17" s="10" t="str">
        <f>IFERROR(IFERROR(INT(VALUE(Raw_Data!B17)), DATE(RIGHT(TRIM(Raw_Data!B17),4), MID(TRIM(Raw_Data!B17),4,2), LEFT(TRIM(Raw_Data!B17),2))), "NA")</f>
        <v>NA</v>
      </c>
      <c r="C17" s="12" t="s">
        <v>93</v>
      </c>
      <c r="D17" s="12" t="str">
        <f>IF(OR(LOWER(TRIM(Raw_Data!D17))="north",LOWER(TRIM(Raw_Data!D17))="n.",LOWER(SUBSTITUTE(TRIM(Raw_Data!D17)," ",""))="north"),"North",IF(OR(LOWER(TRIM(Raw_Data!D17))="south",LOWER(TRIM(Raw_Data!D17))="s."),"South",IF(OR(LOWER(TRIM(Raw_Data!D17))="east",LOWER(TRIM(Raw_Data!D17))="e."),"East",IF(OR(LOWER(TRIM(Raw_Data!D17))="west",LOWER(TRIM(Raw_Data!D17))="w."),"West",IF(OR(LOWER(TRIM(Raw_Data!D17))="central",LOWER(TRIM(Raw_Data!D17))="c."),"Central","Unknown")))))</f>
        <v>North</v>
      </c>
      <c r="E17" s="12" t="s">
        <v>89</v>
      </c>
      <c r="F17" s="12" t="s">
        <v>90</v>
      </c>
      <c r="G17" s="12" t="s">
        <v>91</v>
      </c>
      <c r="H17" s="12">
        <f>IFERROR(VALUE(Raw_Data!H17),0)</f>
        <v>1</v>
      </c>
      <c r="I17" s="49">
        <f>IFERROR(VALUE(Raw_Data!I17),0)</f>
        <v>2200</v>
      </c>
      <c r="J17" s="12">
        <f>IFERROR(VALUE(Raw_Data!J17),0)</f>
        <v>0.25</v>
      </c>
      <c r="K17" s="12" t="s">
        <v>70</v>
      </c>
      <c r="L17" s="12" t="str">
        <f>IF(COUNTIF($A$2:A17, A17)&gt;1, "Duplicate", "Valid")</f>
        <v>Valid</v>
      </c>
      <c r="M17" s="50">
        <f t="shared" si="0"/>
        <v>1650</v>
      </c>
      <c r="N17" t="str">
        <f>IF(COUNTIF($A$2:A17, A17)&gt;1, "Duplicate", IF(OR(B17="NA", ISERROR(B17), ISTEXT(B17)), "Invalid Date", IF(OR(C17=0, E17=0, H17=0, I17=0, J17=0), "Missing Data", "OK")))</f>
        <v>Invalid Date</v>
      </c>
      <c r="O17" t="str">
        <f>IFERROR(INDEX(Reps!$B:$B, MATCH(K17, Reps!$A:$A, 0)), "Not Found")</f>
        <v>Vikram Nair</v>
      </c>
      <c r="P17" t="str">
        <f t="shared" si="1"/>
        <v>NA</v>
      </c>
    </row>
    <row r="18" spans="1:16" x14ac:dyDescent="0.25">
      <c r="A18" t="s">
        <v>108</v>
      </c>
      <c r="B18" s="10">
        <f>IFERROR(IFERROR(INT(VALUE(Raw_Data!B18)), DATE(RIGHT(TRIM(Raw_Data!B18),4), MID(TRIM(Raw_Data!B18),4,2), LEFT(TRIM(Raw_Data!B18),2))), "NA")</f>
        <v>46096</v>
      </c>
      <c r="C18" s="12" t="s">
        <v>109</v>
      </c>
      <c r="D18" s="12" t="str">
        <f>IF(OR(LOWER(TRIM(Raw_Data!D18))="north",LOWER(TRIM(Raw_Data!D18))="n.",LOWER(SUBSTITUTE(TRIM(Raw_Data!D18)," ",""))="north"),"North",IF(OR(LOWER(TRIM(Raw_Data!D18))="south",LOWER(TRIM(Raw_Data!D18))="s."),"South",IF(OR(LOWER(TRIM(Raw_Data!D18))="east",LOWER(TRIM(Raw_Data!D18))="e."),"East",IF(OR(LOWER(TRIM(Raw_Data!D18))="west",LOWER(TRIM(Raw_Data!D18))="w."),"West",IF(OR(LOWER(TRIM(Raw_Data!D18))="central",LOWER(TRIM(Raw_Data!D18))="c."),"Central","Unknown")))))</f>
        <v>South</v>
      </c>
      <c r="E18" s="12" t="s">
        <v>111</v>
      </c>
      <c r="F18" s="12" t="s">
        <v>112</v>
      </c>
      <c r="G18" s="12" t="s">
        <v>57</v>
      </c>
      <c r="H18" s="12">
        <f>IFERROR(VALUE(Raw_Data!H18),0)</f>
        <v>10</v>
      </c>
      <c r="I18" s="49">
        <f>IFERROR(VALUE(Raw_Data!I18),0)</f>
        <v>18000</v>
      </c>
      <c r="J18" s="12">
        <f>IFERROR(VALUE(Raw_Data!J18),0)</f>
        <v>0.1</v>
      </c>
      <c r="K18" s="12" t="s">
        <v>51</v>
      </c>
      <c r="L18" s="12" t="str">
        <f>IF(COUNTIF($A$2:A18, A18)&gt;1, "Duplicate", "Valid")</f>
        <v>Valid</v>
      </c>
      <c r="M18" s="50">
        <f t="shared" si="0"/>
        <v>162000</v>
      </c>
      <c r="N18" t="str">
        <f>IF(COUNTIF($A$2:A18, A18)&gt;1, "Duplicate", IF(OR(B18="NA", ISERROR(B18), ISTEXT(B18)), "Invalid Date", IF(OR(C18=0, E18=0, H18=0, I18=0, J18=0), "Missing Data", "OK")))</f>
        <v>OK</v>
      </c>
      <c r="O18" t="str">
        <f>IFERROR(INDEX(Reps!$B:$B, MATCH(K18, Reps!$A:$A, 0)), "Not Found")</f>
        <v>Priya Iyer</v>
      </c>
      <c r="P18" t="str">
        <f t="shared" si="1"/>
        <v>March</v>
      </c>
    </row>
    <row r="19" spans="1:16" x14ac:dyDescent="0.25">
      <c r="A19" t="s">
        <v>113</v>
      </c>
      <c r="B19" s="10">
        <f>IFERROR(IFERROR(INT(VALUE(Raw_Data!B19)), DATE(RIGHT(TRIM(Raw_Data!B19),4), MID(TRIM(Raw_Data!B19),4,2), LEFT(TRIM(Raw_Data!B19),2))), "NA")</f>
        <v>46014</v>
      </c>
      <c r="C19" s="12" t="s">
        <v>53</v>
      </c>
      <c r="D19" s="12" t="str">
        <f>IF(OR(LOWER(TRIM(Raw_Data!D19))="north",LOWER(TRIM(Raw_Data!D19))="n.",LOWER(SUBSTITUTE(TRIM(Raw_Data!D19)," ",""))="north"),"North",IF(OR(LOWER(TRIM(Raw_Data!D19))="south",LOWER(TRIM(Raw_Data!D19))="s."),"South",IF(OR(LOWER(TRIM(Raw_Data!D19))="east",LOWER(TRIM(Raw_Data!D19))="e."),"East",IF(OR(LOWER(TRIM(Raw_Data!D19))="west",LOWER(TRIM(Raw_Data!D19))="w."),"West",IF(OR(LOWER(TRIM(Raw_Data!D19))="central",LOWER(TRIM(Raw_Data!D19))="c."),"Central","Unknown")))))</f>
        <v>South</v>
      </c>
      <c r="E19" s="12" t="s">
        <v>111</v>
      </c>
      <c r="F19" s="12" t="s">
        <v>112</v>
      </c>
      <c r="G19" s="12" t="s">
        <v>57</v>
      </c>
      <c r="H19" s="12">
        <f>IFERROR(VALUE(Raw_Data!H19),0)</f>
        <v>3</v>
      </c>
      <c r="I19" s="49">
        <f>IFERROR(VALUE(Raw_Data!I19),0)</f>
        <v>18000</v>
      </c>
      <c r="J19" s="12">
        <f>IFERROR(VALUE(Raw_Data!J19),0)</f>
        <v>0.05</v>
      </c>
      <c r="K19" s="12" t="s">
        <v>102</v>
      </c>
      <c r="L19" s="12" t="str">
        <f>IF(COUNTIF($A$2:A19, A19)&gt;1, "Duplicate", "Valid")</f>
        <v>Valid</v>
      </c>
      <c r="M19" s="50">
        <f t="shared" si="0"/>
        <v>51300</v>
      </c>
      <c r="N19" t="str">
        <f>IF(COUNTIF($A$2:A19, A19)&gt;1, "Duplicate", IF(OR(B19="NA", ISERROR(B19), ISTEXT(B19)), "Invalid Date", IF(OR(C19=0, E19=0, H19=0, I19=0, J19=0), "Missing Data", "OK")))</f>
        <v>OK</v>
      </c>
      <c r="O19" t="str">
        <f>IFERROR(INDEX(Reps!$B:$B, MATCH(K19, Reps!$A:$A, 0)), "Not Found")</f>
        <v>Anita Sharma</v>
      </c>
      <c r="P19" t="str">
        <f t="shared" si="1"/>
        <v>December</v>
      </c>
    </row>
    <row r="20" spans="1:16" x14ac:dyDescent="0.25">
      <c r="A20" t="s">
        <v>115</v>
      </c>
      <c r="B20" s="10">
        <f>IFERROR(IFERROR(INT(VALUE(Raw_Data!B20)), DATE(RIGHT(TRIM(Raw_Data!B20),4), MID(TRIM(Raw_Data!B20),4,2), LEFT(TRIM(Raw_Data!B20),2))), "NA")</f>
        <v>45984</v>
      </c>
      <c r="C20" s="12" t="s">
        <v>60</v>
      </c>
      <c r="D20" s="12" t="str">
        <f>IF(OR(LOWER(TRIM(Raw_Data!D20))="north",LOWER(TRIM(Raw_Data!D20))="n.",LOWER(SUBSTITUTE(TRIM(Raw_Data!D20)," ",""))="north"),"North",IF(OR(LOWER(TRIM(Raw_Data!D20))="south",LOWER(TRIM(Raw_Data!D20))="s."),"South",IF(OR(LOWER(TRIM(Raw_Data!D20))="east",LOWER(TRIM(Raw_Data!D20))="e."),"East",IF(OR(LOWER(TRIM(Raw_Data!D20))="west",LOWER(TRIM(Raw_Data!D20))="w."),"West",IF(OR(LOWER(TRIM(Raw_Data!D20))="central",LOWER(TRIM(Raw_Data!D20))="c."),"Central","Unknown")))))</f>
        <v>South</v>
      </c>
      <c r="E20" s="12" t="s">
        <v>77</v>
      </c>
      <c r="F20" s="12" t="s">
        <v>78</v>
      </c>
      <c r="G20" s="12" t="s">
        <v>57</v>
      </c>
      <c r="H20" s="12">
        <f>IFERROR(VALUE(Raw_Data!H20),0)</f>
        <v>10</v>
      </c>
      <c r="I20" s="49">
        <f>IFERROR(VALUE(Raw_Data!I20),0)</f>
        <v>3500</v>
      </c>
      <c r="J20" s="12">
        <f>IFERROR(VALUE(Raw_Data!J20),0)</f>
        <v>0</v>
      </c>
      <c r="K20" s="12" t="s">
        <v>51</v>
      </c>
      <c r="L20" s="12" t="str">
        <f>IF(COUNTIF($A$2:A20, A20)&gt;1, "Duplicate", "Valid")</f>
        <v>Valid</v>
      </c>
      <c r="M20" s="50">
        <f t="shared" si="0"/>
        <v>35000</v>
      </c>
      <c r="N20" t="str">
        <f>IF(COUNTIF($A$2:A20, A20)&gt;1, "Duplicate", IF(OR(B20="NA", ISERROR(B20), ISTEXT(B20)), "Invalid Date", IF(OR(C20=0, E20=0, H20=0, I20=0, J20=0), "Missing Data", "OK")))</f>
        <v>Missing Data</v>
      </c>
      <c r="O20" t="str">
        <f>IFERROR(INDEX(Reps!$B:$B, MATCH(K20, Reps!$A:$A, 0)), "Not Found")</f>
        <v>Priya Iyer</v>
      </c>
      <c r="P20" t="str">
        <f t="shared" si="1"/>
        <v>November</v>
      </c>
    </row>
    <row r="21" spans="1:16" x14ac:dyDescent="0.25">
      <c r="A21" t="s">
        <v>116</v>
      </c>
      <c r="B21" s="10">
        <f>IFERROR(IFERROR(INT(VALUE(Raw_Data!B21)), DATE(RIGHT(TRIM(Raw_Data!B21),4), MID(TRIM(Raw_Data!B21),4,2), LEFT(TRIM(Raw_Data!B21),2))), "NA")</f>
        <v>46105</v>
      </c>
      <c r="C21" s="12" t="s">
        <v>93</v>
      </c>
      <c r="D21" s="12" t="str">
        <f>IF(OR(LOWER(TRIM(Raw_Data!D21))="north",LOWER(TRIM(Raw_Data!D21))="n.",LOWER(SUBSTITUTE(TRIM(Raw_Data!D21)," ",""))="north"),"North",IF(OR(LOWER(TRIM(Raw_Data!D21))="south",LOWER(TRIM(Raw_Data!D21))="s."),"South",IF(OR(LOWER(TRIM(Raw_Data!D21))="east",LOWER(TRIM(Raw_Data!D21))="e."),"East",IF(OR(LOWER(TRIM(Raw_Data!D21))="west",LOWER(TRIM(Raw_Data!D21))="w."),"West",IF(OR(LOWER(TRIM(Raw_Data!D21))="central",LOWER(TRIM(Raw_Data!D21))="c."),"Central","Unknown")))))</f>
        <v>South</v>
      </c>
      <c r="E21" s="12" t="s">
        <v>55</v>
      </c>
      <c r="F21" s="12" t="s">
        <v>56</v>
      </c>
      <c r="G21" s="12" t="s">
        <v>57</v>
      </c>
      <c r="H21" s="12">
        <f>IFERROR(VALUE(Raw_Data!H21),0)</f>
        <v>3</v>
      </c>
      <c r="I21" s="49">
        <f>IFERROR(VALUE(Raw_Data!I21),0)</f>
        <v>65000</v>
      </c>
      <c r="J21" s="12">
        <f>IFERROR(VALUE(Raw_Data!J21),0)</f>
        <v>0.15</v>
      </c>
      <c r="K21" s="12" t="s">
        <v>102</v>
      </c>
      <c r="L21" s="12" t="str">
        <f>IF(COUNTIF($A$2:A21, A21)&gt;1, "Duplicate", "Valid")</f>
        <v>Valid</v>
      </c>
      <c r="M21" s="50">
        <f t="shared" si="0"/>
        <v>165750</v>
      </c>
      <c r="N21" t="str">
        <f>IF(COUNTIF($A$2:A21, A21)&gt;1, "Duplicate", IF(OR(B21="NA", ISERROR(B21), ISTEXT(B21)), "Invalid Date", IF(OR(C21=0, E21=0, H21=0, I21=0, J21=0), "Missing Data", "OK")))</f>
        <v>OK</v>
      </c>
      <c r="O21" t="str">
        <f>IFERROR(INDEX(Reps!$B:$B, MATCH(K21, Reps!$A:$A, 0)), "Not Found")</f>
        <v>Anita Sharma</v>
      </c>
      <c r="P21" t="str">
        <f t="shared" si="1"/>
        <v>March</v>
      </c>
    </row>
    <row r="22" spans="1:16" x14ac:dyDescent="0.25">
      <c r="A22" t="s">
        <v>118</v>
      </c>
      <c r="B22" s="10">
        <f>IFERROR(IFERROR(INT(VALUE(Raw_Data!B22)), DATE(RIGHT(TRIM(Raw_Data!B22),4), MID(TRIM(Raw_Data!B22),4,2), LEFT(TRIM(Raw_Data!B22),2))), "NA")</f>
        <v>46028</v>
      </c>
      <c r="C22" s="12" t="s">
        <v>88</v>
      </c>
      <c r="D22" s="12" t="str">
        <f>IF(OR(LOWER(TRIM(Raw_Data!D22))="north",LOWER(TRIM(Raw_Data!D22))="n.",LOWER(SUBSTITUTE(TRIM(Raw_Data!D22)," ",""))="north"),"North",IF(OR(LOWER(TRIM(Raw_Data!D22))="south",LOWER(TRIM(Raw_Data!D22))="s."),"South",IF(OR(LOWER(TRIM(Raw_Data!D22))="east",LOWER(TRIM(Raw_Data!D22))="e."),"East",IF(OR(LOWER(TRIM(Raw_Data!D22))="west",LOWER(TRIM(Raw_Data!D22))="w."),"West",IF(OR(LOWER(TRIM(Raw_Data!D22))="central",LOWER(TRIM(Raw_Data!D22))="c."),"Central","Unknown")))))</f>
        <v>Unknown</v>
      </c>
      <c r="E22" s="12" t="s">
        <v>120</v>
      </c>
      <c r="F22" s="12" t="s">
        <v>121</v>
      </c>
      <c r="G22" s="12" t="s">
        <v>42</v>
      </c>
      <c r="H22" s="12">
        <f>IFERROR(VALUE(Raw_Data!H22),0)</f>
        <v>12</v>
      </c>
      <c r="I22" s="49">
        <f>IFERROR(VALUE(Raw_Data!I22),0)</f>
        <v>250</v>
      </c>
      <c r="J22" s="12">
        <f>IFERROR(VALUE(Raw_Data!J22),0)</f>
        <v>0</v>
      </c>
      <c r="K22" s="12" t="s">
        <v>102</v>
      </c>
      <c r="L22" s="12" t="str">
        <f>IF(COUNTIF($A$2:A22, A22)&gt;1, "Duplicate", "Valid")</f>
        <v>Valid</v>
      </c>
      <c r="M22" s="50">
        <f t="shared" si="0"/>
        <v>3000</v>
      </c>
      <c r="N22" t="str">
        <f>IF(COUNTIF($A$2:A22, A22)&gt;1, "Duplicate", IF(OR(B22="NA", ISERROR(B22), ISTEXT(B22)), "Invalid Date", IF(OR(C22=0, E22=0, H22=0, I22=0, J22=0), "Missing Data", "OK")))</f>
        <v>Missing Data</v>
      </c>
      <c r="O22" t="str">
        <f>IFERROR(INDEX(Reps!$B:$B, MATCH(K22, Reps!$A:$A, 0)), "Not Found")</f>
        <v>Anita Sharma</v>
      </c>
      <c r="P22" t="str">
        <f t="shared" si="1"/>
        <v>January</v>
      </c>
    </row>
    <row r="23" spans="1:16" x14ac:dyDescent="0.25">
      <c r="A23" t="s">
        <v>122</v>
      </c>
      <c r="B23" s="10">
        <f>IFERROR(IFERROR(INT(VALUE(Raw_Data!B23)), DATE(RIGHT(TRIM(Raw_Data!B23),4), MID(TRIM(Raw_Data!B23),4,2), LEFT(TRIM(Raw_Data!B23),2))), "NA")</f>
        <v>45969</v>
      </c>
      <c r="C23" s="12" t="s">
        <v>123</v>
      </c>
      <c r="D23" s="12" t="str">
        <f>IF(OR(LOWER(TRIM(Raw_Data!D23))="north",LOWER(TRIM(Raw_Data!D23))="n.",LOWER(SUBSTITUTE(TRIM(Raw_Data!D23)," ",""))="north"),"North",IF(OR(LOWER(TRIM(Raw_Data!D23))="south",LOWER(TRIM(Raw_Data!D23))="s."),"South",IF(OR(LOWER(TRIM(Raw_Data!D23))="east",LOWER(TRIM(Raw_Data!D23))="e."),"East",IF(OR(LOWER(TRIM(Raw_Data!D23))="west",LOWER(TRIM(Raw_Data!D23))="w."),"West",IF(OR(LOWER(TRIM(Raw_Data!D23))="central",LOWER(TRIM(Raw_Data!D23))="c."),"Central","Unknown")))))</f>
        <v>Unknown</v>
      </c>
      <c r="E23" s="12" t="s">
        <v>48</v>
      </c>
      <c r="F23" s="12" t="s">
        <v>49</v>
      </c>
      <c r="G23" s="12" t="s">
        <v>50</v>
      </c>
      <c r="H23" s="12">
        <f>IFERROR(VALUE(Raw_Data!H23),0)</f>
        <v>3</v>
      </c>
      <c r="I23" s="49">
        <f>IFERROR(VALUE(Raw_Data!I23),0)</f>
        <v>0</v>
      </c>
      <c r="J23" s="12">
        <f>IFERROR(VALUE(Raw_Data!J23),0)</f>
        <v>0.2</v>
      </c>
      <c r="K23" s="12" t="s">
        <v>70</v>
      </c>
      <c r="L23" s="12" t="str">
        <f>IF(COUNTIF($A$2:A23, A23)&gt;1, "Duplicate", "Valid")</f>
        <v>Valid</v>
      </c>
      <c r="M23" s="50">
        <f t="shared" si="0"/>
        <v>0</v>
      </c>
      <c r="N23" t="str">
        <f>IF(COUNTIF($A$2:A23, A23)&gt;1, "Duplicate", IF(OR(B23="NA", ISERROR(B23), ISTEXT(B23)), "Invalid Date", IF(OR(C23=0, E23=0, H23=0, I23=0, J23=0), "Missing Data", "OK")))</f>
        <v>Missing Data</v>
      </c>
      <c r="O23" t="str">
        <f>IFERROR(INDEX(Reps!$B:$B, MATCH(K23, Reps!$A:$A, 0)), "Not Found")</f>
        <v>Vikram Nair</v>
      </c>
      <c r="P23" t="str">
        <f t="shared" si="1"/>
        <v>November</v>
      </c>
    </row>
    <row r="24" spans="1:16" x14ac:dyDescent="0.25">
      <c r="A24" t="s">
        <v>124</v>
      </c>
      <c r="B24" s="10">
        <f>IFERROR(IFERROR(INT(VALUE(Raw_Data!B24)), DATE(RIGHT(TRIM(Raw_Data!B24),4), MID(TRIM(Raw_Data!B24),4,2), LEFT(TRIM(Raw_Data!B24),2))), "NA")</f>
        <v>46145</v>
      </c>
      <c r="C24" s="12" t="s">
        <v>126</v>
      </c>
      <c r="D24" s="12" t="str">
        <f>IF(OR(LOWER(TRIM(Raw_Data!D24))="north",LOWER(TRIM(Raw_Data!D24))="n.",LOWER(SUBSTITUTE(TRIM(Raw_Data!D24)," ",""))="north"),"North",IF(OR(LOWER(TRIM(Raw_Data!D24))="south",LOWER(TRIM(Raw_Data!D24))="s."),"South",IF(OR(LOWER(TRIM(Raw_Data!D24))="east",LOWER(TRIM(Raw_Data!D24))="e."),"East",IF(OR(LOWER(TRIM(Raw_Data!D24))="west",LOWER(TRIM(Raw_Data!D24))="w."),"West",IF(OR(LOWER(TRIM(Raw_Data!D24))="central",LOWER(TRIM(Raw_Data!D24))="c."),"Central","Unknown")))))</f>
        <v>West</v>
      </c>
      <c r="E24" s="12" t="s">
        <v>127</v>
      </c>
      <c r="F24" s="12" t="s">
        <v>128</v>
      </c>
      <c r="G24" s="12" t="s">
        <v>57</v>
      </c>
      <c r="H24" s="12">
        <f>IFERROR(VALUE(Raw_Data!H24),0)</f>
        <v>12</v>
      </c>
      <c r="I24" s="49">
        <f>IFERROR(VALUE(Raw_Data!I24),0)</f>
        <v>4500</v>
      </c>
      <c r="J24" s="12">
        <f>IFERROR(VALUE(Raw_Data!J24),0)</f>
        <v>0.25</v>
      </c>
      <c r="K24" s="12" t="s">
        <v>102</v>
      </c>
      <c r="L24" s="12" t="str">
        <f>IF(COUNTIF($A$2:A24, A24)&gt;1, "Duplicate", "Valid")</f>
        <v>Valid</v>
      </c>
      <c r="M24" s="50">
        <f t="shared" si="0"/>
        <v>40500</v>
      </c>
      <c r="N24" t="str">
        <f>IF(COUNTIF($A$2:A24, A24)&gt;1, "Duplicate", IF(OR(B24="NA", ISERROR(B24), ISTEXT(B24)), "Invalid Date", IF(OR(C24=0, E24=0, H24=0, I24=0, J24=0), "Missing Data", "OK")))</f>
        <v>OK</v>
      </c>
      <c r="O24" t="str">
        <f>IFERROR(INDEX(Reps!$B:$B, MATCH(K24, Reps!$A:$A, 0)), "Not Found")</f>
        <v>Anita Sharma</v>
      </c>
      <c r="P24" t="str">
        <f t="shared" si="1"/>
        <v>May</v>
      </c>
    </row>
    <row r="25" spans="1:16" x14ac:dyDescent="0.25">
      <c r="A25" t="s">
        <v>129</v>
      </c>
      <c r="B25" s="10">
        <f>IFERROR(IFERROR(INT(VALUE(Raw_Data!B25)), DATE(RIGHT(TRIM(Raw_Data!B25),4), MID(TRIM(Raw_Data!B25),4,2), LEFT(TRIM(Raw_Data!B25),2))), "NA")</f>
        <v>46091</v>
      </c>
      <c r="C25" s="12" t="s">
        <v>131</v>
      </c>
      <c r="D25" s="12" t="str">
        <f>IF(OR(LOWER(TRIM(Raw_Data!D25))="north",LOWER(TRIM(Raw_Data!D25))="n.",LOWER(SUBSTITUTE(TRIM(Raw_Data!D25)," ",""))="north"),"North",IF(OR(LOWER(TRIM(Raw_Data!D25))="south",LOWER(TRIM(Raw_Data!D25))="s."),"South",IF(OR(LOWER(TRIM(Raw_Data!D25))="east",LOWER(TRIM(Raw_Data!D25))="e."),"East",IF(OR(LOWER(TRIM(Raw_Data!D25))="west",LOWER(TRIM(Raw_Data!D25))="w."),"West",IF(OR(LOWER(TRIM(Raw_Data!D25))="central",LOWER(TRIM(Raw_Data!D25))="c."),"Central","Unknown")))))</f>
        <v>West</v>
      </c>
      <c r="E25" s="12" t="s">
        <v>48</v>
      </c>
      <c r="F25" s="12" t="s">
        <v>49</v>
      </c>
      <c r="G25" s="12" t="s">
        <v>50</v>
      </c>
      <c r="H25" s="12">
        <f>IFERROR(VALUE(Raw_Data!H25),0)</f>
        <v>12</v>
      </c>
      <c r="I25" s="49">
        <f>IFERROR(VALUE(Raw_Data!I25),0)</f>
        <v>12000</v>
      </c>
      <c r="J25" s="12">
        <f>IFERROR(VALUE(Raw_Data!J25),0)</f>
        <v>0.15</v>
      </c>
      <c r="K25" s="12" t="s">
        <v>79</v>
      </c>
      <c r="L25" s="12" t="str">
        <f>IF(COUNTIF($A$2:A25, A25)&gt;1, "Duplicate", "Valid")</f>
        <v>Valid</v>
      </c>
      <c r="M25" s="50">
        <f t="shared" si="0"/>
        <v>122400</v>
      </c>
      <c r="N25" t="str">
        <f>IF(COUNTIF($A$2:A25, A25)&gt;1, "Duplicate", IF(OR(B25="NA", ISERROR(B25), ISTEXT(B25)), "Invalid Date", IF(OR(C25=0, E25=0, H25=0, I25=0, J25=0), "Missing Data", "OK")))</f>
        <v>OK</v>
      </c>
      <c r="O25" t="str">
        <f>IFERROR(INDEX(Reps!$B:$B, MATCH(K25, Reps!$A:$A, 0)), "Not Found")</f>
        <v>Sneha Reddy</v>
      </c>
      <c r="P25" t="str">
        <f t="shared" si="1"/>
        <v>March</v>
      </c>
    </row>
    <row r="26" spans="1:16" x14ac:dyDescent="0.25">
      <c r="A26" t="s">
        <v>132</v>
      </c>
      <c r="B26" s="10">
        <f>IFERROR(IFERROR(INT(VALUE(Raw_Data!B26)), DATE(RIGHT(TRIM(Raw_Data!B26),4), MID(TRIM(Raw_Data!B26),4,2), LEFT(TRIM(Raw_Data!B26),2))), "NA")</f>
        <v>46448</v>
      </c>
      <c r="C26" s="12" t="s">
        <v>134</v>
      </c>
      <c r="D26" s="12" t="str">
        <f>IF(OR(LOWER(TRIM(Raw_Data!D26))="north",LOWER(TRIM(Raw_Data!D26))="n.",LOWER(SUBSTITUTE(TRIM(Raw_Data!D26)," ",""))="north"),"North",IF(OR(LOWER(TRIM(Raw_Data!D26))="south",LOWER(TRIM(Raw_Data!D26))="s."),"South",IF(OR(LOWER(TRIM(Raw_Data!D26))="east",LOWER(TRIM(Raw_Data!D26))="e."),"East",IF(OR(LOWER(TRIM(Raw_Data!D26))="west",LOWER(TRIM(Raw_Data!D26))="w."),"West",IF(OR(LOWER(TRIM(Raw_Data!D26))="central",LOWER(TRIM(Raw_Data!D26))="c."),"Central","Unknown")))))</f>
        <v>North</v>
      </c>
      <c r="E26" s="12" t="s">
        <v>135</v>
      </c>
      <c r="F26" s="12" t="s">
        <v>136</v>
      </c>
      <c r="G26" s="12" t="s">
        <v>50</v>
      </c>
      <c r="H26" s="12">
        <f>IFERROR(VALUE(Raw_Data!H26),0)</f>
        <v>6</v>
      </c>
      <c r="I26" s="49">
        <f>IFERROR(VALUE(Raw_Data!I26),0)</f>
        <v>9500</v>
      </c>
      <c r="J26" s="12">
        <f>IFERROR(VALUE(Raw_Data!J26),0)</f>
        <v>0.15</v>
      </c>
      <c r="K26" s="12" t="s">
        <v>43</v>
      </c>
      <c r="L26" s="12" t="str">
        <f>IF(COUNTIF($A$2:A26, A26)&gt;1, "Duplicate", "Valid")</f>
        <v>Valid</v>
      </c>
      <c r="M26" s="50">
        <f t="shared" si="0"/>
        <v>48450</v>
      </c>
      <c r="N26" t="str">
        <f>IF(COUNTIF($A$2:A26, A26)&gt;1, "Duplicate", IF(OR(B26="NA", ISERROR(B26), ISTEXT(B26)), "Invalid Date", IF(OR(C26=0, E26=0, H26=0, I26=0, J26=0), "Missing Data", "OK")))</f>
        <v>OK</v>
      </c>
      <c r="O26" t="str">
        <f>IFERROR(INDEX(Reps!$B:$B, MATCH(K26, Reps!$A:$A, 0)), "Not Found")</f>
        <v>Karan Mehta</v>
      </c>
      <c r="P26" t="str">
        <f t="shared" si="1"/>
        <v>March</v>
      </c>
    </row>
    <row r="27" spans="1:16" x14ac:dyDescent="0.25">
      <c r="A27" t="s">
        <v>137</v>
      </c>
      <c r="B27" s="10">
        <f>IFERROR(IFERROR(INT(VALUE(Raw_Data!B27)), DATE(RIGHT(TRIM(Raw_Data!B27),4), MID(TRIM(Raw_Data!B27),4,2), LEFT(TRIM(Raw_Data!B27),2))), "NA")</f>
        <v>46085</v>
      </c>
      <c r="C27" s="12" t="s">
        <v>138</v>
      </c>
      <c r="D27" s="12" t="str">
        <f>IF(OR(LOWER(TRIM(Raw_Data!D27))="north",LOWER(TRIM(Raw_Data!D27))="n.",LOWER(SUBSTITUTE(TRIM(Raw_Data!D27)," ",""))="north"),"North",IF(OR(LOWER(TRIM(Raw_Data!D27))="south",LOWER(TRIM(Raw_Data!D27))="s."),"South",IF(OR(LOWER(TRIM(Raw_Data!D27))="east",LOWER(TRIM(Raw_Data!D27))="e."),"East",IF(OR(LOWER(TRIM(Raw_Data!D27))="west",LOWER(TRIM(Raw_Data!D27))="w."),"West",IF(OR(LOWER(TRIM(Raw_Data!D27))="central",LOWER(TRIM(Raw_Data!D27))="c."),"Central","Unknown")))))</f>
        <v>Central</v>
      </c>
      <c r="E27" s="12" t="s">
        <v>135</v>
      </c>
      <c r="F27" s="12" t="s">
        <v>136</v>
      </c>
      <c r="G27" s="12" t="s">
        <v>50</v>
      </c>
      <c r="H27" s="12">
        <f>IFERROR(VALUE(Raw_Data!H27),0)</f>
        <v>7</v>
      </c>
      <c r="I27" s="49">
        <f>IFERROR(VALUE(Raw_Data!I27),0)</f>
        <v>9500</v>
      </c>
      <c r="J27" s="12">
        <f>IFERROR(VALUE(Raw_Data!J27),0)</f>
        <v>0</v>
      </c>
      <c r="K27" s="12" t="s">
        <v>70</v>
      </c>
      <c r="L27" s="12" t="str">
        <f>IF(COUNTIF($A$2:A27, A27)&gt;1, "Duplicate", "Valid")</f>
        <v>Valid</v>
      </c>
      <c r="M27" s="50">
        <f t="shared" si="0"/>
        <v>66500</v>
      </c>
      <c r="N27" t="str">
        <f>IF(COUNTIF($A$2:A27, A27)&gt;1, "Duplicate", IF(OR(B27="NA", ISERROR(B27), ISTEXT(B27)), "Invalid Date", IF(OR(C27=0, E27=0, H27=0, I27=0, J27=0), "Missing Data", "OK")))</f>
        <v>Missing Data</v>
      </c>
      <c r="O27" t="str">
        <f>IFERROR(INDEX(Reps!$B:$B, MATCH(K27, Reps!$A:$A, 0)), "Not Found")</f>
        <v>Vikram Nair</v>
      </c>
      <c r="P27" t="str">
        <f t="shared" si="1"/>
        <v>March</v>
      </c>
    </row>
    <row r="28" spans="1:16" x14ac:dyDescent="0.25">
      <c r="A28" t="s">
        <v>139</v>
      </c>
      <c r="B28" s="10">
        <f>IFERROR(IFERROR(INT(VALUE(Raw_Data!B28)), DATE(RIGHT(TRIM(Raw_Data!B28),4), MID(TRIM(Raw_Data!B28),4,2), LEFT(TRIM(Raw_Data!B28),2))), "NA")</f>
        <v>46063</v>
      </c>
      <c r="C28" s="12" t="s">
        <v>134</v>
      </c>
      <c r="D28" s="12" t="str">
        <f>IF(OR(LOWER(TRIM(Raw_Data!D28))="north",LOWER(TRIM(Raw_Data!D28))="n.",LOWER(SUBSTITUTE(TRIM(Raw_Data!D28)," ",""))="north"),"North",IF(OR(LOWER(TRIM(Raw_Data!D28))="south",LOWER(TRIM(Raw_Data!D28))="s."),"South",IF(OR(LOWER(TRIM(Raw_Data!D28))="east",LOWER(TRIM(Raw_Data!D28))="e."),"East",IF(OR(LOWER(TRIM(Raw_Data!D28))="west",LOWER(TRIM(Raw_Data!D28))="w."),"West",IF(OR(LOWER(TRIM(Raw_Data!D28))="central",LOWER(TRIM(Raw_Data!D28))="c."),"Central","Unknown")))))</f>
        <v>North</v>
      </c>
      <c r="E28" s="12" t="s">
        <v>77</v>
      </c>
      <c r="F28" s="12" t="s">
        <v>78</v>
      </c>
      <c r="G28" s="12" t="s">
        <v>57</v>
      </c>
      <c r="H28" s="12">
        <f>IFERROR(VALUE(Raw_Data!H28),0)</f>
        <v>2</v>
      </c>
      <c r="I28" s="49">
        <f>IFERROR(VALUE(Raw_Data!I28),0)</f>
        <v>3500</v>
      </c>
      <c r="J28" s="12">
        <f>IFERROR(VALUE(Raw_Data!J28),0)</f>
        <v>0.05</v>
      </c>
      <c r="K28" s="12" t="s">
        <v>102</v>
      </c>
      <c r="L28" s="12" t="str">
        <f>IF(COUNTIF($A$2:A28, A28)&gt;1, "Duplicate", "Valid")</f>
        <v>Valid</v>
      </c>
      <c r="M28" s="50">
        <f t="shared" si="0"/>
        <v>6650</v>
      </c>
      <c r="N28" t="str">
        <f>IF(COUNTIF($A$2:A28, A28)&gt;1, "Duplicate", IF(OR(B28="NA", ISERROR(B28), ISTEXT(B28)), "Invalid Date", IF(OR(C28=0, E28=0, H28=0, I28=0, J28=0), "Missing Data", "OK")))</f>
        <v>OK</v>
      </c>
      <c r="O28" t="str">
        <f>IFERROR(INDEX(Reps!$B:$B, MATCH(K28, Reps!$A:$A, 0)), "Not Found")</f>
        <v>Anita Sharma</v>
      </c>
      <c r="P28" t="str">
        <f t="shared" si="1"/>
        <v>February</v>
      </c>
    </row>
    <row r="29" spans="1:16" x14ac:dyDescent="0.25">
      <c r="A29" t="s">
        <v>140</v>
      </c>
      <c r="B29" s="10">
        <f>IFERROR(IFERROR(INT(VALUE(Raw_Data!B29)), DATE(RIGHT(TRIM(Raw_Data!B29),4), MID(TRIM(Raw_Data!B29),4,2), LEFT(TRIM(Raw_Data!B29),2))), "NA")</f>
        <v>46130</v>
      </c>
      <c r="C29" s="12" t="s">
        <v>126</v>
      </c>
      <c r="D29" s="12" t="str">
        <f>IF(OR(LOWER(TRIM(Raw_Data!D29))="north",LOWER(TRIM(Raw_Data!D29))="n.",LOWER(SUBSTITUTE(TRIM(Raw_Data!D29)," ",""))="north"),"North",IF(OR(LOWER(TRIM(Raw_Data!D29))="south",LOWER(TRIM(Raw_Data!D29))="s."),"South",IF(OR(LOWER(TRIM(Raw_Data!D29))="east",LOWER(TRIM(Raw_Data!D29))="e."),"East",IF(OR(LOWER(TRIM(Raw_Data!D29))="west",LOWER(TRIM(Raw_Data!D29))="w."),"West",IF(OR(LOWER(TRIM(Raw_Data!D29))="central",LOWER(TRIM(Raw_Data!D29))="c."),"Central","Unknown")))))</f>
        <v>North</v>
      </c>
      <c r="E29" s="12" t="s">
        <v>89</v>
      </c>
      <c r="F29" s="12" t="s">
        <v>90</v>
      </c>
      <c r="G29" s="12" t="s">
        <v>91</v>
      </c>
      <c r="H29" s="12">
        <f>IFERROR(VALUE(Raw_Data!H29),0)</f>
        <v>11</v>
      </c>
      <c r="I29" s="49">
        <f>IFERROR(VALUE(Raw_Data!I29),0)</f>
        <v>2200</v>
      </c>
      <c r="J29" s="12">
        <f>IFERROR(VALUE(Raw_Data!J29),0)</f>
        <v>0.2</v>
      </c>
      <c r="K29" s="12" t="s">
        <v>51</v>
      </c>
      <c r="L29" s="12" t="str">
        <f>IF(COUNTIF($A$2:A29, A29)&gt;1, "Duplicate", "Valid")</f>
        <v>Valid</v>
      </c>
      <c r="M29" s="50">
        <f t="shared" si="0"/>
        <v>19360</v>
      </c>
      <c r="N29" t="str">
        <f>IF(COUNTIF($A$2:A29, A29)&gt;1, "Duplicate", IF(OR(B29="NA", ISERROR(B29), ISTEXT(B29)), "Invalid Date", IF(OR(C29=0, E29=0, H29=0, I29=0, J29=0), "Missing Data", "OK")))</f>
        <v>OK</v>
      </c>
      <c r="O29" t="str">
        <f>IFERROR(INDEX(Reps!$B:$B, MATCH(K29, Reps!$A:$A, 0)), "Not Found")</f>
        <v>Priya Iyer</v>
      </c>
      <c r="P29" t="str">
        <f t="shared" si="1"/>
        <v>April</v>
      </c>
    </row>
    <row r="30" spans="1:16" x14ac:dyDescent="0.25">
      <c r="A30" t="s">
        <v>142</v>
      </c>
      <c r="B30" s="10">
        <f>IFERROR(IFERROR(INT(VALUE(Raw_Data!B30)), DATE(RIGHT(TRIM(Raw_Data!B30),4), MID(TRIM(Raw_Data!B30),4,2), LEFT(TRIM(Raw_Data!B30),2))), "NA")</f>
        <v>46580</v>
      </c>
      <c r="C30" s="12" t="s">
        <v>144</v>
      </c>
      <c r="D30" s="12" t="str">
        <f>IF(OR(LOWER(TRIM(Raw_Data!D30))="north",LOWER(TRIM(Raw_Data!D30))="n.",LOWER(SUBSTITUTE(TRIM(Raw_Data!D30)," ",""))="north"),"North",IF(OR(LOWER(TRIM(Raw_Data!D30))="south",LOWER(TRIM(Raw_Data!D30))="s."),"South",IF(OR(LOWER(TRIM(Raw_Data!D30))="east",LOWER(TRIM(Raw_Data!D30))="e."),"East",IF(OR(LOWER(TRIM(Raw_Data!D30))="west",LOWER(TRIM(Raw_Data!D30))="w."),"West",IF(OR(LOWER(TRIM(Raw_Data!D30))="central",LOWER(TRIM(Raw_Data!D30))="c."),"Central","Unknown")))))</f>
        <v>West</v>
      </c>
      <c r="E30" s="12" t="s">
        <v>77</v>
      </c>
      <c r="F30" s="12" t="s">
        <v>78</v>
      </c>
      <c r="G30" s="12" t="s">
        <v>57</v>
      </c>
      <c r="H30" s="12">
        <f>IFERROR(VALUE(Raw_Data!H30),0)</f>
        <v>4</v>
      </c>
      <c r="I30" s="49">
        <f>IFERROR(VALUE(Raw_Data!I30),0)</f>
        <v>3500</v>
      </c>
      <c r="J30" s="12">
        <f>IFERROR(VALUE(Raw_Data!J30),0)</f>
        <v>0</v>
      </c>
      <c r="K30" s="12" t="s">
        <v>102</v>
      </c>
      <c r="L30" s="12" t="str">
        <f>IF(COUNTIF($A$2:A30, A30)&gt;1, "Duplicate", "Valid")</f>
        <v>Valid</v>
      </c>
      <c r="M30" s="50">
        <f t="shared" si="0"/>
        <v>14000</v>
      </c>
      <c r="N30" t="str">
        <f>IF(COUNTIF($A$2:A30, A30)&gt;1, "Duplicate", IF(OR(B30="NA", ISERROR(B30), ISTEXT(B30)), "Invalid Date", IF(OR(C30=0, E30=0, H30=0, I30=0, J30=0), "Missing Data", "OK")))</f>
        <v>Missing Data</v>
      </c>
      <c r="O30" t="str">
        <f>IFERROR(INDEX(Reps!$B:$B, MATCH(K30, Reps!$A:$A, 0)), "Not Found")</f>
        <v>Anita Sharma</v>
      </c>
      <c r="P30" t="str">
        <f t="shared" si="1"/>
        <v>July</v>
      </c>
    </row>
    <row r="31" spans="1:16" x14ac:dyDescent="0.25">
      <c r="A31" t="s">
        <v>146</v>
      </c>
      <c r="B31" s="10">
        <f>IFERROR(IFERROR(INT(VALUE(Raw_Data!B31)), DATE(RIGHT(TRIM(Raw_Data!B31),4), MID(TRIM(Raw_Data!B31),4,2), LEFT(TRIM(Raw_Data!B31),2))), "NA")</f>
        <v>46481</v>
      </c>
      <c r="C31" s="12" t="s">
        <v>148</v>
      </c>
      <c r="D31" s="12" t="str">
        <f>IF(OR(LOWER(TRIM(Raw_Data!D31))="north",LOWER(TRIM(Raw_Data!D31))="n.",LOWER(SUBSTITUTE(TRIM(Raw_Data!D31)," ",""))="north"),"North",IF(OR(LOWER(TRIM(Raw_Data!D31))="south",LOWER(TRIM(Raw_Data!D31))="s."),"South",IF(OR(LOWER(TRIM(Raw_Data!D31))="east",LOWER(TRIM(Raw_Data!D31))="e."),"East",IF(OR(LOWER(TRIM(Raw_Data!D31))="west",LOWER(TRIM(Raw_Data!D31))="w."),"West",IF(OR(LOWER(TRIM(Raw_Data!D31))="central",LOWER(TRIM(Raw_Data!D31))="c."),"Central","Unknown")))))</f>
        <v>North</v>
      </c>
      <c r="E31" s="12" t="s">
        <v>48</v>
      </c>
      <c r="F31" s="12" t="s">
        <v>49</v>
      </c>
      <c r="G31" s="12" t="s">
        <v>50</v>
      </c>
      <c r="H31" s="12">
        <f>IFERROR(VALUE(Raw_Data!H31),0)</f>
        <v>9</v>
      </c>
      <c r="I31" s="49">
        <f>IFERROR(VALUE(Raw_Data!I31),0)</f>
        <v>12000</v>
      </c>
      <c r="J31" s="12">
        <f>IFERROR(VALUE(Raw_Data!J31),0)</f>
        <v>0</v>
      </c>
      <c r="K31" s="12" t="s">
        <v>43</v>
      </c>
      <c r="L31" s="12" t="str">
        <f>IF(COUNTIF($A$2:A31, A31)&gt;1, "Duplicate", "Valid")</f>
        <v>Valid</v>
      </c>
      <c r="M31" s="50">
        <f t="shared" si="0"/>
        <v>108000</v>
      </c>
      <c r="N31" t="str">
        <f>IF(COUNTIF($A$2:A31, A31)&gt;1, "Duplicate", IF(OR(B31="NA", ISERROR(B31), ISTEXT(B31)), "Invalid Date", IF(OR(C31=0, E31=0, H31=0, I31=0, J31=0), "Missing Data", "OK")))</f>
        <v>Missing Data</v>
      </c>
      <c r="O31" t="str">
        <f>IFERROR(INDEX(Reps!$B:$B, MATCH(K31, Reps!$A:$A, 0)), "Not Found")</f>
        <v>Karan Mehta</v>
      </c>
      <c r="P31" t="str">
        <f t="shared" si="1"/>
        <v>April</v>
      </c>
    </row>
    <row r="32" spans="1:16" x14ac:dyDescent="0.25">
      <c r="A32" t="s">
        <v>149</v>
      </c>
      <c r="B32" s="10">
        <f>IFERROR(IFERROR(INT(VALUE(Raw_Data!B32)), DATE(RIGHT(TRIM(Raw_Data!B32),4), MID(TRIM(Raw_Data!B32),4,2), LEFT(TRIM(Raw_Data!B32),2))), "NA")</f>
        <v>46787</v>
      </c>
      <c r="C32" s="12" t="s">
        <v>151</v>
      </c>
      <c r="D32" s="12" t="str">
        <f>IF(OR(LOWER(TRIM(Raw_Data!D32))="north",LOWER(TRIM(Raw_Data!D32))="n.",LOWER(SUBSTITUTE(TRIM(Raw_Data!D32)," ",""))="north"),"North",IF(OR(LOWER(TRIM(Raw_Data!D32))="south",LOWER(TRIM(Raw_Data!D32))="s."),"South",IF(OR(LOWER(TRIM(Raw_Data!D32))="east",LOWER(TRIM(Raw_Data!D32))="e."),"East",IF(OR(LOWER(TRIM(Raw_Data!D32))="west",LOWER(TRIM(Raw_Data!D32))="w."),"West",IF(OR(LOWER(TRIM(Raw_Data!D32))="central",LOWER(TRIM(Raw_Data!D32))="c."),"Central","Unknown")))))</f>
        <v>East</v>
      </c>
      <c r="E32" s="12" t="s">
        <v>40</v>
      </c>
      <c r="F32" s="12" t="s">
        <v>41</v>
      </c>
      <c r="G32" s="12" t="s">
        <v>42</v>
      </c>
      <c r="H32" s="12">
        <f>IFERROR(VALUE(Raw_Data!H32),0)</f>
        <v>8</v>
      </c>
      <c r="I32" s="49">
        <f>IFERROR(VALUE(Raw_Data!I32),0)</f>
        <v>450</v>
      </c>
      <c r="J32" s="12">
        <f>IFERROR(VALUE(Raw_Data!J32),0)</f>
        <v>0</v>
      </c>
      <c r="K32" s="12" t="s">
        <v>102</v>
      </c>
      <c r="L32" s="12" t="str">
        <f>IF(COUNTIF($A$2:A32, A32)&gt;1, "Duplicate", "Valid")</f>
        <v>Valid</v>
      </c>
      <c r="M32" s="50">
        <f t="shared" si="0"/>
        <v>3600</v>
      </c>
      <c r="N32" t="str">
        <f>IF(COUNTIF($A$2:A32, A32)&gt;1, "Duplicate", IF(OR(B32="NA", ISERROR(B32), ISTEXT(B32)), "Invalid Date", IF(OR(C32=0, E32=0, H32=0, I32=0, J32=0), "Missing Data", "OK")))</f>
        <v>Missing Data</v>
      </c>
      <c r="O32" t="str">
        <f>IFERROR(INDEX(Reps!$B:$B, MATCH(K32, Reps!$A:$A, 0)), "Not Found")</f>
        <v>Anita Sharma</v>
      </c>
      <c r="P32" t="str">
        <f t="shared" si="1"/>
        <v>February</v>
      </c>
    </row>
    <row r="33" spans="1:16" x14ac:dyDescent="0.25">
      <c r="A33" t="s">
        <v>152</v>
      </c>
      <c r="B33" s="10">
        <f>IFERROR(IFERROR(INT(VALUE(Raw_Data!B33)), DATE(RIGHT(TRIM(Raw_Data!B33),4), MID(TRIM(Raw_Data!B33),4,2), LEFT(TRIM(Raw_Data!B33),2))), "NA")</f>
        <v>45982</v>
      </c>
      <c r="C33" s="12" t="s">
        <v>134</v>
      </c>
      <c r="D33" s="12" t="str">
        <f>IF(OR(LOWER(TRIM(Raw_Data!D33))="north",LOWER(TRIM(Raw_Data!D33))="n.",LOWER(SUBSTITUTE(TRIM(Raw_Data!D33)," ",""))="north"),"North",IF(OR(LOWER(TRIM(Raw_Data!D33))="south",LOWER(TRIM(Raw_Data!D33))="s."),"South",IF(OR(LOWER(TRIM(Raw_Data!D33))="east",LOWER(TRIM(Raw_Data!D33))="e."),"East",IF(OR(LOWER(TRIM(Raw_Data!D33))="west",LOWER(TRIM(Raw_Data!D33))="w."),"West",IF(OR(LOWER(TRIM(Raw_Data!D33))="central",LOWER(TRIM(Raw_Data!D33))="c."),"Central","Unknown")))))</f>
        <v>Central</v>
      </c>
      <c r="E33" s="12" t="s">
        <v>120</v>
      </c>
      <c r="F33" s="12" t="s">
        <v>121</v>
      </c>
      <c r="G33" s="12" t="s">
        <v>42</v>
      </c>
      <c r="H33" s="12">
        <f>IFERROR(VALUE(Raw_Data!H33),0)</f>
        <v>3</v>
      </c>
      <c r="I33" s="49">
        <f>IFERROR(VALUE(Raw_Data!I33),0)</f>
        <v>250</v>
      </c>
      <c r="J33" s="12">
        <f>IFERROR(VALUE(Raw_Data!J33),0)</f>
        <v>0</v>
      </c>
      <c r="K33" s="12" t="s">
        <v>70</v>
      </c>
      <c r="L33" s="12" t="str">
        <f>IF(COUNTIF($A$2:A33, A33)&gt;1, "Duplicate", "Valid")</f>
        <v>Valid</v>
      </c>
      <c r="M33" s="50">
        <f t="shared" si="0"/>
        <v>750</v>
      </c>
      <c r="N33" t="str">
        <f>IF(COUNTIF($A$2:A33, A33)&gt;1, "Duplicate", IF(OR(B33="NA", ISERROR(B33), ISTEXT(B33)), "Invalid Date", IF(OR(C33=0, E33=0, H33=0, I33=0, J33=0), "Missing Data", "OK")))</f>
        <v>Missing Data</v>
      </c>
      <c r="O33" t="str">
        <f>IFERROR(INDEX(Reps!$B:$B, MATCH(K33, Reps!$A:$A, 0)), "Not Found")</f>
        <v>Vikram Nair</v>
      </c>
      <c r="P33" t="str">
        <f t="shared" si="1"/>
        <v>November</v>
      </c>
    </row>
    <row r="34" spans="1:16" x14ac:dyDescent="0.25">
      <c r="A34" t="s">
        <v>153</v>
      </c>
      <c r="B34" s="10">
        <f>IFERROR(IFERROR(INT(VALUE(Raw_Data!B34)), DATE(RIGHT(TRIM(Raw_Data!B34),4), MID(TRIM(Raw_Data!B34),4,2), LEFT(TRIM(Raw_Data!B34),2))), "NA")</f>
        <v>46844</v>
      </c>
      <c r="C34" s="12" t="s">
        <v>123</v>
      </c>
      <c r="D34" s="12" t="str">
        <f>IF(OR(LOWER(TRIM(Raw_Data!D34))="north",LOWER(TRIM(Raw_Data!D34))="n.",LOWER(SUBSTITUTE(TRIM(Raw_Data!D34)," ",""))="north"),"North",IF(OR(LOWER(TRIM(Raw_Data!D34))="south",LOWER(TRIM(Raw_Data!D34))="s."),"South",IF(OR(LOWER(TRIM(Raw_Data!D34))="east",LOWER(TRIM(Raw_Data!D34))="e."),"East",IF(OR(LOWER(TRIM(Raw_Data!D34))="west",LOWER(TRIM(Raw_Data!D34))="w."),"West",IF(OR(LOWER(TRIM(Raw_Data!D34))="central",LOWER(TRIM(Raw_Data!D34))="c."),"Central","Unknown")))))</f>
        <v>Central</v>
      </c>
      <c r="E34" s="12" t="s">
        <v>40</v>
      </c>
      <c r="F34" s="12" t="s">
        <v>41</v>
      </c>
      <c r="G34" s="12" t="s">
        <v>42</v>
      </c>
      <c r="H34" s="12">
        <f>IFERROR(VALUE(Raw_Data!H34),0)</f>
        <v>3</v>
      </c>
      <c r="I34" s="49">
        <f>IFERROR(VALUE(Raw_Data!I34),0)</f>
        <v>0</v>
      </c>
      <c r="J34" s="12">
        <f>IFERROR(VALUE(Raw_Data!J34),0)</f>
        <v>0.1</v>
      </c>
      <c r="K34" s="12" t="s">
        <v>70</v>
      </c>
      <c r="L34" s="12" t="str">
        <f>IF(COUNTIF($A$2:A34, A34)&gt;1, "Duplicate", "Valid")</f>
        <v>Valid</v>
      </c>
      <c r="M34" s="50">
        <f t="shared" si="0"/>
        <v>0</v>
      </c>
      <c r="N34" t="str">
        <f>IF(COUNTIF($A$2:A34, A34)&gt;1, "Duplicate", IF(OR(B34="NA", ISERROR(B34), ISTEXT(B34)), "Invalid Date", IF(OR(C34=0, E34=0, H34=0, I34=0, J34=0), "Missing Data", "OK")))</f>
        <v>Missing Data</v>
      </c>
      <c r="O34" t="str">
        <f>IFERROR(INDEX(Reps!$B:$B, MATCH(K34, Reps!$A:$A, 0)), "Not Found")</f>
        <v>Vikram Nair</v>
      </c>
      <c r="P34" t="str">
        <f t="shared" si="1"/>
        <v>April</v>
      </c>
    </row>
    <row r="35" spans="1:16" x14ac:dyDescent="0.25">
      <c r="A35" t="s">
        <v>155</v>
      </c>
      <c r="B35" s="10">
        <f>IFERROR(IFERROR(INT(VALUE(Raw_Data!B35)), DATE(RIGHT(TRIM(Raw_Data!B35),4), MID(TRIM(Raw_Data!B35),4,2), LEFT(TRIM(Raw_Data!B35),2))), "NA")</f>
        <v>46106</v>
      </c>
      <c r="C35" s="12" t="s">
        <v>156</v>
      </c>
      <c r="D35" s="12" t="str">
        <f>IF(OR(LOWER(TRIM(Raw_Data!D35))="north",LOWER(TRIM(Raw_Data!D35))="n.",LOWER(SUBSTITUTE(TRIM(Raw_Data!D35)," ",""))="north"),"North",IF(OR(LOWER(TRIM(Raw_Data!D35))="south",LOWER(TRIM(Raw_Data!D35))="s."),"South",IF(OR(LOWER(TRIM(Raw_Data!D35))="east",LOWER(TRIM(Raw_Data!D35))="e."),"East",IF(OR(LOWER(TRIM(Raw_Data!D35))="west",LOWER(TRIM(Raw_Data!D35))="w."),"West",IF(OR(LOWER(TRIM(Raw_Data!D35))="central",LOWER(TRIM(Raw_Data!D35))="c."),"Central","Unknown")))))</f>
        <v>South</v>
      </c>
      <c r="E35" s="12" t="s">
        <v>127</v>
      </c>
      <c r="F35" s="12" t="s">
        <v>128</v>
      </c>
      <c r="G35" s="12" t="s">
        <v>57</v>
      </c>
      <c r="H35" s="12">
        <f>IFERROR(VALUE(Raw_Data!H35),0)</f>
        <v>9</v>
      </c>
      <c r="I35" s="49">
        <f>IFERROR(VALUE(Raw_Data!I35),0)</f>
        <v>4500</v>
      </c>
      <c r="J35" s="12">
        <f>IFERROR(VALUE(Raw_Data!J35),0)</f>
        <v>0.1</v>
      </c>
      <c r="K35" s="12" t="s">
        <v>79</v>
      </c>
      <c r="L35" s="12" t="str">
        <f>IF(COUNTIF($A$2:A35, A35)&gt;1, "Duplicate", "Valid")</f>
        <v>Valid</v>
      </c>
      <c r="M35" s="50">
        <f t="shared" si="0"/>
        <v>36450</v>
      </c>
      <c r="N35" t="str">
        <f>IF(COUNTIF($A$2:A35, A35)&gt;1, "Duplicate", IF(OR(B35="NA", ISERROR(B35), ISTEXT(B35)), "Invalid Date", IF(OR(C35=0, E35=0, H35=0, I35=0, J35=0), "Missing Data", "OK")))</f>
        <v>OK</v>
      </c>
      <c r="O35" t="str">
        <f>IFERROR(INDEX(Reps!$B:$B, MATCH(K35, Reps!$A:$A, 0)), "Not Found")</f>
        <v>Sneha Reddy</v>
      </c>
      <c r="P35" t="str">
        <f t="shared" si="1"/>
        <v>March</v>
      </c>
    </row>
    <row r="36" spans="1:16" x14ac:dyDescent="0.25">
      <c r="A36" t="s">
        <v>157</v>
      </c>
      <c r="B36" s="10">
        <f>IFERROR(IFERROR(INT(VALUE(Raw_Data!B36)), DATE(RIGHT(TRIM(Raw_Data!B36),4), MID(TRIM(Raw_Data!B36),4,2), LEFT(TRIM(Raw_Data!B36),2))), "NA")</f>
        <v>46017</v>
      </c>
      <c r="C36" s="12" t="s">
        <v>60</v>
      </c>
      <c r="D36" s="12" t="str">
        <f>IF(OR(LOWER(TRIM(Raw_Data!D36))="north",LOWER(TRIM(Raw_Data!D36))="n.",LOWER(SUBSTITUTE(TRIM(Raw_Data!D36)," ",""))="north"),"North",IF(OR(LOWER(TRIM(Raw_Data!D36))="south",LOWER(TRIM(Raw_Data!D36))="s."),"South",IF(OR(LOWER(TRIM(Raw_Data!D36))="east",LOWER(TRIM(Raw_Data!D36))="e."),"East",IF(OR(LOWER(TRIM(Raw_Data!D36))="west",LOWER(TRIM(Raw_Data!D36))="w."),"West",IF(OR(LOWER(TRIM(Raw_Data!D36))="central",LOWER(TRIM(Raw_Data!D36))="c."),"Central","Unknown")))))</f>
        <v>South</v>
      </c>
      <c r="E36" s="12" t="s">
        <v>40</v>
      </c>
      <c r="F36" s="12" t="s">
        <v>41</v>
      </c>
      <c r="G36" s="12" t="s">
        <v>42</v>
      </c>
      <c r="H36" s="12">
        <f>IFERROR(VALUE(Raw_Data!H36),0)</f>
        <v>2</v>
      </c>
      <c r="I36" s="49">
        <f>IFERROR(VALUE(Raw_Data!I36),0)</f>
        <v>450</v>
      </c>
      <c r="J36" s="12">
        <f>IFERROR(VALUE(Raw_Data!J36),0)</f>
        <v>0.15</v>
      </c>
      <c r="K36" s="12" t="s">
        <v>102</v>
      </c>
      <c r="L36" s="12" t="str">
        <f>IF(COUNTIF($A$2:A36, A36)&gt;1, "Duplicate", "Valid")</f>
        <v>Valid</v>
      </c>
      <c r="M36" s="50">
        <f t="shared" si="0"/>
        <v>765</v>
      </c>
      <c r="N36" t="str">
        <f>IF(COUNTIF($A$2:A36, A36)&gt;1, "Duplicate", IF(OR(B36="NA", ISERROR(B36), ISTEXT(B36)), "Invalid Date", IF(OR(C36=0, E36=0, H36=0, I36=0, J36=0), "Missing Data", "OK")))</f>
        <v>OK</v>
      </c>
      <c r="O36" t="str">
        <f>IFERROR(INDEX(Reps!$B:$B, MATCH(K36, Reps!$A:$A, 0)), "Not Found")</f>
        <v>Anita Sharma</v>
      </c>
      <c r="P36" t="str">
        <f t="shared" si="1"/>
        <v>December</v>
      </c>
    </row>
    <row r="37" spans="1:16" x14ac:dyDescent="0.25">
      <c r="A37" t="s">
        <v>159</v>
      </c>
      <c r="B37" s="10">
        <f>IFERROR(IFERROR(INT(VALUE(Raw_Data!B37)), DATE(RIGHT(TRIM(Raw_Data!B37),4), MID(TRIM(Raw_Data!B37),4,2), LEFT(TRIM(Raw_Data!B37),2))), "NA")</f>
        <v>45979</v>
      </c>
      <c r="C37" s="12" t="s">
        <v>160</v>
      </c>
      <c r="D37" s="12" t="str">
        <f>IF(OR(LOWER(TRIM(Raw_Data!D37))="north",LOWER(TRIM(Raw_Data!D37))="n.",LOWER(SUBSTITUTE(TRIM(Raw_Data!D37)," ",""))="north"),"North",IF(OR(LOWER(TRIM(Raw_Data!D37))="south",LOWER(TRIM(Raw_Data!D37))="s."),"South",IF(OR(LOWER(TRIM(Raw_Data!D37))="east",LOWER(TRIM(Raw_Data!D37))="e."),"East",IF(OR(LOWER(TRIM(Raw_Data!D37))="west",LOWER(TRIM(Raw_Data!D37))="w."),"West",IF(OR(LOWER(TRIM(Raw_Data!D37))="central",LOWER(TRIM(Raw_Data!D37))="c."),"Central","Unknown")))))</f>
        <v>East</v>
      </c>
      <c r="E37" s="12" t="s">
        <v>127</v>
      </c>
      <c r="F37" s="12" t="s">
        <v>128</v>
      </c>
      <c r="G37" s="12" t="s">
        <v>57</v>
      </c>
      <c r="H37" s="12">
        <f>IFERROR(VALUE(Raw_Data!H37),0)</f>
        <v>12</v>
      </c>
      <c r="I37" s="49">
        <f>IFERROR(VALUE(Raw_Data!I37),0)</f>
        <v>4500</v>
      </c>
      <c r="J37" s="12">
        <f>IFERROR(VALUE(Raw_Data!J37),0)</f>
        <v>0.15</v>
      </c>
      <c r="K37" s="12" t="s">
        <v>43</v>
      </c>
      <c r="L37" s="12" t="str">
        <f>IF(COUNTIF($A$2:A37, A37)&gt;1, "Duplicate", "Valid")</f>
        <v>Valid</v>
      </c>
      <c r="M37" s="50">
        <f t="shared" si="0"/>
        <v>45900</v>
      </c>
      <c r="N37" t="str">
        <f>IF(COUNTIF($A$2:A37, A37)&gt;1, "Duplicate", IF(OR(B37="NA", ISERROR(B37), ISTEXT(B37)), "Invalid Date", IF(OR(C37=0, E37=0, H37=0, I37=0, J37=0), "Missing Data", "OK")))</f>
        <v>OK</v>
      </c>
      <c r="O37" t="str">
        <f>IFERROR(INDEX(Reps!$B:$B, MATCH(K37, Reps!$A:$A, 0)), "Not Found")</f>
        <v>Karan Mehta</v>
      </c>
      <c r="P37" t="str">
        <f t="shared" si="1"/>
        <v>November</v>
      </c>
    </row>
    <row r="38" spans="1:16" x14ac:dyDescent="0.25">
      <c r="A38" t="s">
        <v>162</v>
      </c>
      <c r="B38" s="10">
        <f>IFERROR(IFERROR(INT(VALUE(Raw_Data!B38)), DATE(RIGHT(TRIM(Raw_Data!B38),4), MID(TRIM(Raw_Data!B38),4,2), LEFT(TRIM(Raw_Data!B38),2))), "NA")</f>
        <v>46784</v>
      </c>
      <c r="C38" s="12" t="s">
        <v>148</v>
      </c>
      <c r="D38" s="12" t="str">
        <f>IF(OR(LOWER(TRIM(Raw_Data!D38))="north",LOWER(TRIM(Raw_Data!D38))="n.",LOWER(SUBSTITUTE(TRIM(Raw_Data!D38)," ",""))="north"),"North",IF(OR(LOWER(TRIM(Raw_Data!D38))="south",LOWER(TRIM(Raw_Data!D38))="s."),"South",IF(OR(LOWER(TRIM(Raw_Data!D38))="east",LOWER(TRIM(Raw_Data!D38))="e."),"East",IF(OR(LOWER(TRIM(Raw_Data!D38))="west",LOWER(TRIM(Raw_Data!D38))="w."),"West",IF(OR(LOWER(TRIM(Raw_Data!D38))="central",LOWER(TRIM(Raw_Data!D38))="c."),"Central","Unknown")))))</f>
        <v>West</v>
      </c>
      <c r="E38" s="12" t="s">
        <v>40</v>
      </c>
      <c r="F38" s="12" t="s">
        <v>41</v>
      </c>
      <c r="G38" s="12" t="s">
        <v>42</v>
      </c>
      <c r="H38" s="12">
        <f>IFERROR(VALUE(Raw_Data!H38),0)</f>
        <v>9</v>
      </c>
      <c r="I38" s="49">
        <f>IFERROR(VALUE(Raw_Data!I38),0)</f>
        <v>450</v>
      </c>
      <c r="J38" s="12">
        <f>IFERROR(VALUE(Raw_Data!J38),0)</f>
        <v>0.2</v>
      </c>
      <c r="K38" s="12" t="s">
        <v>79</v>
      </c>
      <c r="L38" s="12" t="str">
        <f>IF(COUNTIF($A$2:A38, A38)&gt;1, "Duplicate", "Valid")</f>
        <v>Valid</v>
      </c>
      <c r="M38" s="50">
        <f t="shared" si="0"/>
        <v>3240</v>
      </c>
      <c r="N38" t="str">
        <f>IF(COUNTIF($A$2:A38, A38)&gt;1, "Duplicate", IF(OR(B38="NA", ISERROR(B38), ISTEXT(B38)), "Invalid Date", IF(OR(C38=0, E38=0, H38=0, I38=0, J38=0), "Missing Data", "OK")))</f>
        <v>OK</v>
      </c>
      <c r="O38" t="str">
        <f>IFERROR(INDEX(Reps!$B:$B, MATCH(K38, Reps!$A:$A, 0)), "Not Found")</f>
        <v>Sneha Reddy</v>
      </c>
      <c r="P38" t="str">
        <f t="shared" si="1"/>
        <v>February</v>
      </c>
    </row>
    <row r="39" spans="1:16" x14ac:dyDescent="0.25">
      <c r="A39" t="s">
        <v>164</v>
      </c>
      <c r="B39" s="10">
        <f>IFERROR(IFERROR(INT(VALUE(Raw_Data!B39)), DATE(RIGHT(TRIM(Raw_Data!B39),4), MID(TRIM(Raw_Data!B39),4,2), LEFT(TRIM(Raw_Data!B39),2))), "NA")</f>
        <v>45975</v>
      </c>
      <c r="C39" s="12" t="s">
        <v>165</v>
      </c>
      <c r="D39" s="12" t="str">
        <f>IF(OR(LOWER(TRIM(Raw_Data!D39))="north",LOWER(TRIM(Raw_Data!D39))="n.",LOWER(SUBSTITUTE(TRIM(Raw_Data!D39)," ",""))="north"),"North",IF(OR(LOWER(TRIM(Raw_Data!D39))="south",LOWER(TRIM(Raw_Data!D39))="s."),"South",IF(OR(LOWER(TRIM(Raw_Data!D39))="east",LOWER(TRIM(Raw_Data!D39))="e."),"East",IF(OR(LOWER(TRIM(Raw_Data!D39))="west",LOWER(TRIM(Raw_Data!D39))="w."),"West",IF(OR(LOWER(TRIM(Raw_Data!D39))="central",LOWER(TRIM(Raw_Data!D39))="c."),"Central","Unknown")))))</f>
        <v>West</v>
      </c>
      <c r="E39" s="12" t="s">
        <v>127</v>
      </c>
      <c r="F39" s="12" t="s">
        <v>128</v>
      </c>
      <c r="G39" s="12" t="s">
        <v>57</v>
      </c>
      <c r="H39" s="12">
        <f>IFERROR(VALUE(Raw_Data!H39),0)</f>
        <v>1</v>
      </c>
      <c r="I39" s="49">
        <f>IFERROR(VALUE(Raw_Data!I39),0)</f>
        <v>4500</v>
      </c>
      <c r="J39" s="12">
        <f>IFERROR(VALUE(Raw_Data!J39),0)</f>
        <v>0.1</v>
      </c>
      <c r="K39" s="12" t="s">
        <v>102</v>
      </c>
      <c r="L39" s="12" t="str">
        <f>IF(COUNTIF($A$2:A39, A39)&gt;1, "Duplicate", "Valid")</f>
        <v>Valid</v>
      </c>
      <c r="M39" s="50">
        <f t="shared" si="0"/>
        <v>4050</v>
      </c>
      <c r="N39" t="str">
        <f>IF(COUNTIF($A$2:A39, A39)&gt;1, "Duplicate", IF(OR(B39="NA", ISERROR(B39), ISTEXT(B39)), "Invalid Date", IF(OR(C39=0, E39=0, H39=0, I39=0, J39=0), "Missing Data", "OK")))</f>
        <v>OK</v>
      </c>
      <c r="O39" t="str">
        <f>IFERROR(INDEX(Reps!$B:$B, MATCH(K39, Reps!$A:$A, 0)), "Not Found")</f>
        <v>Anita Sharma</v>
      </c>
      <c r="P39" t="str">
        <f t="shared" si="1"/>
        <v>November</v>
      </c>
    </row>
    <row r="40" spans="1:16" x14ac:dyDescent="0.25">
      <c r="A40" t="s">
        <v>166</v>
      </c>
      <c r="B40" s="10">
        <f>IFERROR(IFERROR(INT(VALUE(Raw_Data!B40)), DATE(RIGHT(TRIM(Raw_Data!B40),4), MID(TRIM(Raw_Data!B40),4,2), LEFT(TRIM(Raw_Data!B40),2))), "NA")</f>
        <v>46038</v>
      </c>
      <c r="C40" s="12" t="s">
        <v>168</v>
      </c>
      <c r="D40" s="12" t="str">
        <f>IF(OR(LOWER(TRIM(Raw_Data!D40))="north",LOWER(TRIM(Raw_Data!D40))="n.",LOWER(SUBSTITUTE(TRIM(Raw_Data!D40)," ",""))="north"),"North",IF(OR(LOWER(TRIM(Raw_Data!D40))="south",LOWER(TRIM(Raw_Data!D40))="s."),"South",IF(OR(LOWER(TRIM(Raw_Data!D40))="east",LOWER(TRIM(Raw_Data!D40))="e."),"East",IF(OR(LOWER(TRIM(Raw_Data!D40))="west",LOWER(TRIM(Raw_Data!D40))="w."),"West",IF(OR(LOWER(TRIM(Raw_Data!D40))="central",LOWER(TRIM(Raw_Data!D40))="c."),"Central","Unknown")))))</f>
        <v>West</v>
      </c>
      <c r="E40" s="12" t="s">
        <v>135</v>
      </c>
      <c r="F40" s="12" t="s">
        <v>136</v>
      </c>
      <c r="G40" s="12" t="s">
        <v>50</v>
      </c>
      <c r="H40" s="12">
        <f>IFERROR(VALUE(Raw_Data!H40),0)</f>
        <v>7</v>
      </c>
      <c r="I40" s="49">
        <f>IFERROR(VALUE(Raw_Data!I40),0)</f>
        <v>9500</v>
      </c>
      <c r="J40" s="12">
        <f>IFERROR(VALUE(Raw_Data!J40),0)</f>
        <v>0.15</v>
      </c>
      <c r="K40" s="12" t="s">
        <v>74</v>
      </c>
      <c r="L40" s="12" t="str">
        <f>IF(COUNTIF($A$2:A40, A40)&gt;1, "Duplicate", "Valid")</f>
        <v>Valid</v>
      </c>
      <c r="M40" s="50">
        <f t="shared" si="0"/>
        <v>56525</v>
      </c>
      <c r="N40" t="str">
        <f>IF(COUNTIF($A$2:A40, A40)&gt;1, "Duplicate", IF(OR(B40="NA", ISERROR(B40), ISTEXT(B40)), "Invalid Date", IF(OR(C40=0, E40=0, H40=0, I40=0, J40=0), "Missing Data", "OK")))</f>
        <v>OK</v>
      </c>
      <c r="O40" t="str">
        <f>IFERROR(INDEX(Reps!$B:$B, MATCH(K40, Reps!$A:$A, 0)), "Not Found")</f>
        <v>Rahul Verma</v>
      </c>
      <c r="P40" t="str">
        <f t="shared" si="1"/>
        <v>January</v>
      </c>
    </row>
    <row r="41" spans="1:16" x14ac:dyDescent="0.25">
      <c r="A41" t="s">
        <v>169</v>
      </c>
      <c r="B41" s="10">
        <f>IFERROR(IFERROR(INT(VALUE(Raw_Data!B41)), DATE(RIGHT(TRIM(Raw_Data!B41),4), MID(TRIM(Raw_Data!B41),4,2), LEFT(TRIM(Raw_Data!B41),2))), "NA")</f>
        <v>46138</v>
      </c>
      <c r="C41" s="12" t="s">
        <v>93</v>
      </c>
      <c r="D41" s="12" t="str">
        <f>IF(OR(LOWER(TRIM(Raw_Data!D41))="north",LOWER(TRIM(Raw_Data!D41))="n.",LOWER(SUBSTITUTE(TRIM(Raw_Data!D41)," ",""))="north"),"North",IF(OR(LOWER(TRIM(Raw_Data!D41))="south",LOWER(TRIM(Raw_Data!D41))="s."),"South",IF(OR(LOWER(TRIM(Raw_Data!D41))="east",LOWER(TRIM(Raw_Data!D41))="e."),"East",IF(OR(LOWER(TRIM(Raw_Data!D41))="west",LOWER(TRIM(Raw_Data!D41))="w."),"West",IF(OR(LOWER(TRIM(Raw_Data!D41))="central",LOWER(TRIM(Raw_Data!D41))="c."),"Central","Unknown")))))</f>
        <v>West</v>
      </c>
      <c r="E41" s="12" t="s">
        <v>120</v>
      </c>
      <c r="F41" s="12" t="s">
        <v>121</v>
      </c>
      <c r="G41" s="12" t="s">
        <v>42</v>
      </c>
      <c r="H41" s="12">
        <f>IFERROR(VALUE(Raw_Data!H41),0)</f>
        <v>11</v>
      </c>
      <c r="I41" s="49">
        <f>IFERROR(VALUE(Raw_Data!I41),0)</f>
        <v>250</v>
      </c>
      <c r="J41" s="12">
        <f>IFERROR(VALUE(Raw_Data!J41),0)</f>
        <v>0.05</v>
      </c>
      <c r="K41" s="12" t="s">
        <v>79</v>
      </c>
      <c r="L41" s="12" t="str">
        <f>IF(COUNTIF($A$2:A41, A41)&gt;1, "Duplicate", "Valid")</f>
        <v>Valid</v>
      </c>
      <c r="M41" s="50">
        <f t="shared" si="0"/>
        <v>2612.5</v>
      </c>
      <c r="N41" t="str">
        <f>IF(COUNTIF($A$2:A41, A41)&gt;1, "Duplicate", IF(OR(B41="NA", ISERROR(B41), ISTEXT(B41)), "Invalid Date", IF(OR(C41=0, E41=0, H41=0, I41=0, J41=0), "Missing Data", "OK")))</f>
        <v>OK</v>
      </c>
      <c r="O41" t="str">
        <f>IFERROR(INDEX(Reps!$B:$B, MATCH(K41, Reps!$A:$A, 0)), "Not Found")</f>
        <v>Sneha Reddy</v>
      </c>
      <c r="P41" t="str">
        <f t="shared" si="1"/>
        <v>April</v>
      </c>
    </row>
    <row r="42" spans="1:16" x14ac:dyDescent="0.25">
      <c r="A42" t="s">
        <v>171</v>
      </c>
      <c r="B42" s="10">
        <f>IFERROR(IFERROR(INT(VALUE(Raw_Data!B42)), DATE(RIGHT(TRIM(Raw_Data!B42),4), MID(TRIM(Raw_Data!B42),4,2), LEFT(TRIM(Raw_Data!B42),2))), "NA")</f>
        <v>46122</v>
      </c>
      <c r="C42" s="12" t="s">
        <v>68</v>
      </c>
      <c r="D42" s="12" t="str">
        <f>IF(OR(LOWER(TRIM(Raw_Data!D42))="north",LOWER(TRIM(Raw_Data!D42))="n.",LOWER(SUBSTITUTE(TRIM(Raw_Data!D42)," ",""))="north"),"North",IF(OR(LOWER(TRIM(Raw_Data!D42))="south",LOWER(TRIM(Raw_Data!D42))="s."),"South",IF(OR(LOWER(TRIM(Raw_Data!D42))="east",LOWER(TRIM(Raw_Data!D42))="e."),"East",IF(OR(LOWER(TRIM(Raw_Data!D42))="west",LOWER(TRIM(Raw_Data!D42))="w."),"West",IF(OR(LOWER(TRIM(Raw_Data!D42))="central",LOWER(TRIM(Raw_Data!D42))="c."),"Central","Unknown")))))</f>
        <v>Central</v>
      </c>
      <c r="E42" s="12" t="s">
        <v>89</v>
      </c>
      <c r="F42" s="12" t="s">
        <v>90</v>
      </c>
      <c r="G42" s="12" t="s">
        <v>91</v>
      </c>
      <c r="H42" s="12">
        <f>IFERROR(VALUE(Raw_Data!H42),0)</f>
        <v>8</v>
      </c>
      <c r="I42" s="49">
        <f>IFERROR(VALUE(Raw_Data!I42),0)</f>
        <v>2200</v>
      </c>
      <c r="J42" s="12">
        <f>IFERROR(VALUE(Raw_Data!J42),0)</f>
        <v>0.25</v>
      </c>
      <c r="K42" s="12" t="s">
        <v>51</v>
      </c>
      <c r="L42" s="12" t="str">
        <f>IF(COUNTIF($A$2:A42, A42)&gt;1, "Duplicate", "Valid")</f>
        <v>Valid</v>
      </c>
      <c r="M42" s="50">
        <f t="shared" si="0"/>
        <v>13200</v>
      </c>
      <c r="N42" t="str">
        <f>IF(COUNTIF($A$2:A42, A42)&gt;1, "Duplicate", IF(OR(B42="NA", ISERROR(B42), ISTEXT(B42)), "Invalid Date", IF(OR(C42=0, E42=0, H42=0, I42=0, J42=0), "Missing Data", "OK")))</f>
        <v>OK</v>
      </c>
      <c r="O42" t="str">
        <f>IFERROR(INDEX(Reps!$B:$B, MATCH(K42, Reps!$A:$A, 0)), "Not Found")</f>
        <v>Priya Iyer</v>
      </c>
      <c r="P42" t="str">
        <f t="shared" si="1"/>
        <v>April</v>
      </c>
    </row>
    <row r="43" spans="1:16" x14ac:dyDescent="0.25">
      <c r="A43" t="s">
        <v>173</v>
      </c>
      <c r="B43" s="10">
        <f>IFERROR(IFERROR(INT(VALUE(Raw_Data!B43)), DATE(RIGHT(TRIM(Raw_Data!B43),4), MID(TRIM(Raw_Data!B43),4,2), LEFT(TRIM(Raw_Data!B43),2))), "NA")</f>
        <v>46113</v>
      </c>
      <c r="C43" s="12" t="s">
        <v>109</v>
      </c>
      <c r="D43" s="12" t="str">
        <f>IF(OR(LOWER(TRIM(Raw_Data!D43))="north",LOWER(TRIM(Raw_Data!D43))="n.",LOWER(SUBSTITUTE(TRIM(Raw_Data!D43)," ",""))="north"),"North",IF(OR(LOWER(TRIM(Raw_Data!D43))="south",LOWER(TRIM(Raw_Data!D43))="s."),"South",IF(OR(LOWER(TRIM(Raw_Data!D43))="east",LOWER(TRIM(Raw_Data!D43))="e."),"East",IF(OR(LOWER(TRIM(Raw_Data!D43))="west",LOWER(TRIM(Raw_Data!D43))="w."),"West",IF(OR(LOWER(TRIM(Raw_Data!D43))="central",LOWER(TRIM(Raw_Data!D43))="c."),"Central","Unknown")))))</f>
        <v>North</v>
      </c>
      <c r="E43" s="12" t="s">
        <v>127</v>
      </c>
      <c r="F43" s="12" t="s">
        <v>128</v>
      </c>
      <c r="G43" s="12" t="s">
        <v>57</v>
      </c>
      <c r="H43" s="12">
        <f>IFERROR(VALUE(Raw_Data!H43),0)</f>
        <v>4</v>
      </c>
      <c r="I43" s="49">
        <f>IFERROR(VALUE(Raw_Data!I43),0)</f>
        <v>4500</v>
      </c>
      <c r="J43" s="12">
        <f>IFERROR(VALUE(Raw_Data!J43),0)</f>
        <v>0.25</v>
      </c>
      <c r="K43" s="12" t="s">
        <v>43</v>
      </c>
      <c r="L43" s="12" t="str">
        <f>IF(COUNTIF($A$2:A43, A43)&gt;1, "Duplicate", "Valid")</f>
        <v>Valid</v>
      </c>
      <c r="M43" s="50">
        <f t="shared" si="0"/>
        <v>13500</v>
      </c>
      <c r="N43" t="str">
        <f>IF(COUNTIF($A$2:A43, A43)&gt;1, "Duplicate", IF(OR(B43="NA", ISERROR(B43), ISTEXT(B43)), "Invalid Date", IF(OR(C43=0, E43=0, H43=0, I43=0, J43=0), "Missing Data", "OK")))</f>
        <v>OK</v>
      </c>
      <c r="O43" t="str">
        <f>IFERROR(INDEX(Reps!$B:$B, MATCH(K43, Reps!$A:$A, 0)), "Not Found")</f>
        <v>Karan Mehta</v>
      </c>
      <c r="P43" t="str">
        <f t="shared" si="1"/>
        <v>April</v>
      </c>
    </row>
    <row r="44" spans="1:16" x14ac:dyDescent="0.25">
      <c r="A44" t="s">
        <v>175</v>
      </c>
      <c r="B44" s="10">
        <f>IFERROR(IFERROR(INT(VALUE(Raw_Data!B44)), DATE(RIGHT(TRIM(Raw_Data!B44),4), MID(TRIM(Raw_Data!B44),4,2), LEFT(TRIM(Raw_Data!B44),2))), "NA")</f>
        <v>46102</v>
      </c>
      <c r="C44" s="12" t="s">
        <v>76</v>
      </c>
      <c r="D44" s="12" t="str">
        <f>IF(OR(LOWER(TRIM(Raw_Data!D44))="north",LOWER(TRIM(Raw_Data!D44))="n.",LOWER(SUBSTITUTE(TRIM(Raw_Data!D44)," ",""))="north"),"North",IF(OR(LOWER(TRIM(Raw_Data!D44))="south",LOWER(TRIM(Raw_Data!D44))="s."),"South",IF(OR(LOWER(TRIM(Raw_Data!D44))="east",LOWER(TRIM(Raw_Data!D44))="e."),"East",IF(OR(LOWER(TRIM(Raw_Data!D44))="west",LOWER(TRIM(Raw_Data!D44))="w."),"West",IF(OR(LOWER(TRIM(Raw_Data!D44))="central",LOWER(TRIM(Raw_Data!D44))="c."),"Central","Unknown")))))</f>
        <v>East</v>
      </c>
      <c r="E44" s="12" t="s">
        <v>98</v>
      </c>
      <c r="F44" s="12" t="s">
        <v>99</v>
      </c>
      <c r="G44" s="12" t="s">
        <v>50</v>
      </c>
      <c r="H44" s="12">
        <f>IFERROR(VALUE(Raw_Data!H44),0)</f>
        <v>5</v>
      </c>
      <c r="I44" s="49">
        <f>IFERROR(VALUE(Raw_Data!I44),0)</f>
        <v>28000</v>
      </c>
      <c r="J44" s="12">
        <f>IFERROR(VALUE(Raw_Data!J44),0)</f>
        <v>0.25</v>
      </c>
      <c r="K44" s="12" t="s">
        <v>43</v>
      </c>
      <c r="L44" s="12" t="str">
        <f>IF(COUNTIF($A$2:A44, A44)&gt;1, "Duplicate", "Valid")</f>
        <v>Valid</v>
      </c>
      <c r="M44" s="50">
        <f t="shared" si="0"/>
        <v>105000</v>
      </c>
      <c r="N44" t="str">
        <f>IF(COUNTIF($A$2:A44, A44)&gt;1, "Duplicate", IF(OR(B44="NA", ISERROR(B44), ISTEXT(B44)), "Invalid Date", IF(OR(C44=0, E44=0, H44=0, I44=0, J44=0), "Missing Data", "OK")))</f>
        <v>OK</v>
      </c>
      <c r="O44" t="str">
        <f>IFERROR(INDEX(Reps!$B:$B, MATCH(K44, Reps!$A:$A, 0)), "Not Found")</f>
        <v>Karan Mehta</v>
      </c>
      <c r="P44" t="str">
        <f t="shared" si="1"/>
        <v>March</v>
      </c>
    </row>
    <row r="45" spans="1:16" x14ac:dyDescent="0.25">
      <c r="A45" t="s">
        <v>177</v>
      </c>
      <c r="B45" s="10">
        <f>IFERROR(IFERROR(INT(VALUE(Raw_Data!B45)), DATE(RIGHT(TRIM(Raw_Data!B45),4), MID(TRIM(Raw_Data!B45),4,2), LEFT(TRIM(Raw_Data!B45),2))), "NA")</f>
        <v>46481</v>
      </c>
      <c r="C45" s="12" t="s">
        <v>178</v>
      </c>
      <c r="D45" s="12" t="str">
        <f>IF(OR(LOWER(TRIM(Raw_Data!D45))="north",LOWER(TRIM(Raw_Data!D45))="n.",LOWER(SUBSTITUTE(TRIM(Raw_Data!D45)," ",""))="north"),"North",IF(OR(LOWER(TRIM(Raw_Data!D45))="south",LOWER(TRIM(Raw_Data!D45))="s."),"South",IF(OR(LOWER(TRIM(Raw_Data!D45))="east",LOWER(TRIM(Raw_Data!D45))="e."),"East",IF(OR(LOWER(TRIM(Raw_Data!D45))="west",LOWER(TRIM(Raw_Data!D45))="w."),"West",IF(OR(LOWER(TRIM(Raw_Data!D45))="central",LOWER(TRIM(Raw_Data!D45))="c."),"Central","Unknown")))))</f>
        <v>West</v>
      </c>
      <c r="E45" s="12" t="s">
        <v>98</v>
      </c>
      <c r="F45" s="12" t="s">
        <v>99</v>
      </c>
      <c r="G45" s="12" t="s">
        <v>50</v>
      </c>
      <c r="H45" s="12">
        <f>IFERROR(VALUE(Raw_Data!H45),0)</f>
        <v>7</v>
      </c>
      <c r="I45" s="49">
        <f>IFERROR(VALUE(Raw_Data!I45),0)</f>
        <v>28000</v>
      </c>
      <c r="J45" s="12">
        <f>IFERROR(VALUE(Raw_Data!J45),0)</f>
        <v>0.05</v>
      </c>
      <c r="K45" s="12" t="s">
        <v>51</v>
      </c>
      <c r="L45" s="12" t="str">
        <f>IF(COUNTIF($A$2:A45, A45)&gt;1, "Duplicate", "Valid")</f>
        <v>Valid</v>
      </c>
      <c r="M45" s="50">
        <f t="shared" si="0"/>
        <v>186200</v>
      </c>
      <c r="N45" t="str">
        <f>IF(COUNTIF($A$2:A45, A45)&gt;1, "Duplicate", IF(OR(B45="NA", ISERROR(B45), ISTEXT(B45)), "Invalid Date", IF(OR(C45=0, E45=0, H45=0, I45=0, J45=0), "Missing Data", "OK")))</f>
        <v>OK</v>
      </c>
      <c r="O45" t="str">
        <f>IFERROR(INDEX(Reps!$B:$B, MATCH(K45, Reps!$A:$A, 0)), "Not Found")</f>
        <v>Priya Iyer</v>
      </c>
      <c r="P45" t="str">
        <f t="shared" si="1"/>
        <v>April</v>
      </c>
    </row>
    <row r="46" spans="1:16" x14ac:dyDescent="0.25">
      <c r="A46" t="s">
        <v>179</v>
      </c>
      <c r="B46" s="10">
        <f>IFERROR(IFERROR(INT(VALUE(Raw_Data!B46)), DATE(RIGHT(TRIM(Raw_Data!B46),4), MID(TRIM(Raw_Data!B46),4,2), LEFT(TRIM(Raw_Data!B46),2))), "NA")</f>
        <v>46056</v>
      </c>
      <c r="C46" s="12" t="s">
        <v>181</v>
      </c>
      <c r="D46" s="12" t="str">
        <f>IF(OR(LOWER(TRIM(Raw_Data!D46))="north",LOWER(TRIM(Raw_Data!D46))="n.",LOWER(SUBSTITUTE(TRIM(Raw_Data!D46)," ",""))="north"),"North",IF(OR(LOWER(TRIM(Raw_Data!D46))="south",LOWER(TRIM(Raw_Data!D46))="s."),"South",IF(OR(LOWER(TRIM(Raw_Data!D46))="east",LOWER(TRIM(Raw_Data!D46))="e."),"East",IF(OR(LOWER(TRIM(Raw_Data!D46))="west",LOWER(TRIM(Raw_Data!D46))="w."),"West",IF(OR(LOWER(TRIM(Raw_Data!D46))="central",LOWER(TRIM(Raw_Data!D46))="c."),"Central","Unknown")))))</f>
        <v>South</v>
      </c>
      <c r="E46" s="12" t="s">
        <v>77</v>
      </c>
      <c r="F46" s="12" t="s">
        <v>78</v>
      </c>
      <c r="G46" s="12" t="s">
        <v>57</v>
      </c>
      <c r="H46" s="12">
        <f>IFERROR(VALUE(Raw_Data!H46),0)</f>
        <v>2</v>
      </c>
      <c r="I46" s="49">
        <f>IFERROR(VALUE(Raw_Data!I46),0)</f>
        <v>3500</v>
      </c>
      <c r="J46" s="12">
        <f>IFERROR(VALUE(Raw_Data!J46),0)</f>
        <v>0</v>
      </c>
      <c r="K46" s="12" t="s">
        <v>51</v>
      </c>
      <c r="L46" s="12" t="str">
        <f>IF(COUNTIF($A$2:A46, A46)&gt;1, "Duplicate", "Valid")</f>
        <v>Valid</v>
      </c>
      <c r="M46" s="50">
        <f t="shared" si="0"/>
        <v>7000</v>
      </c>
      <c r="N46" t="str">
        <f>IF(COUNTIF($A$2:A46, A46)&gt;1, "Duplicate", IF(OR(B46="NA", ISERROR(B46), ISTEXT(B46)), "Invalid Date", IF(OR(C46=0, E46=0, H46=0, I46=0, J46=0), "Missing Data", "OK")))</f>
        <v>Missing Data</v>
      </c>
      <c r="O46" t="str">
        <f>IFERROR(INDEX(Reps!$B:$B, MATCH(K46, Reps!$A:$A, 0)), "Not Found")</f>
        <v>Priya Iyer</v>
      </c>
      <c r="P46" t="str">
        <f t="shared" si="1"/>
        <v>February</v>
      </c>
    </row>
    <row r="47" spans="1:16" x14ac:dyDescent="0.25">
      <c r="A47" t="s">
        <v>182</v>
      </c>
      <c r="B47" s="10">
        <f>IFERROR(IFERROR(INT(VALUE(Raw_Data!B47)), DATE(RIGHT(TRIM(Raw_Data!B47),4), MID(TRIM(Raw_Data!B47),4,2), LEFT(TRIM(Raw_Data!B47),2))), "NA")</f>
        <v>46450</v>
      </c>
      <c r="C47" s="12" t="s">
        <v>148</v>
      </c>
      <c r="D47" s="12" t="str">
        <f>IF(OR(LOWER(TRIM(Raw_Data!D47))="north",LOWER(TRIM(Raw_Data!D47))="n.",LOWER(SUBSTITUTE(TRIM(Raw_Data!D47)," ",""))="north"),"North",IF(OR(LOWER(TRIM(Raw_Data!D47))="south",LOWER(TRIM(Raw_Data!D47))="s."),"South",IF(OR(LOWER(TRIM(Raw_Data!D47))="east",LOWER(TRIM(Raw_Data!D47))="e."),"East",IF(OR(LOWER(TRIM(Raw_Data!D47))="west",LOWER(TRIM(Raw_Data!D47))="w."),"West",IF(OR(LOWER(TRIM(Raw_Data!D47))="central",LOWER(TRIM(Raw_Data!D47))="c."),"Central","Unknown")))))</f>
        <v>East</v>
      </c>
      <c r="E47" s="12" t="s">
        <v>135</v>
      </c>
      <c r="F47" s="12" t="s">
        <v>136</v>
      </c>
      <c r="G47" s="12" t="s">
        <v>50</v>
      </c>
      <c r="H47" s="12">
        <f>IFERROR(VALUE(Raw_Data!H47),0)</f>
        <v>12</v>
      </c>
      <c r="I47" s="49">
        <f>IFERROR(VALUE(Raw_Data!I47),0)</f>
        <v>9500</v>
      </c>
      <c r="J47" s="12">
        <f>IFERROR(VALUE(Raw_Data!J47),0)</f>
        <v>0.1</v>
      </c>
      <c r="K47" s="12" t="s">
        <v>43</v>
      </c>
      <c r="L47" s="12" t="str">
        <f>IF(COUNTIF($A$2:A47, A47)&gt;1, "Duplicate", "Valid")</f>
        <v>Valid</v>
      </c>
      <c r="M47" s="50">
        <f t="shared" si="0"/>
        <v>102600</v>
      </c>
      <c r="N47" t="str">
        <f>IF(COUNTIF($A$2:A47, A47)&gt;1, "Duplicate", IF(OR(B47="NA", ISERROR(B47), ISTEXT(B47)), "Invalid Date", IF(OR(C47=0, E47=0, H47=0, I47=0, J47=0), "Missing Data", "OK")))</f>
        <v>OK</v>
      </c>
      <c r="O47" t="str">
        <f>IFERROR(INDEX(Reps!$B:$B, MATCH(K47, Reps!$A:$A, 0)), "Not Found")</f>
        <v>Karan Mehta</v>
      </c>
      <c r="P47" t="str">
        <f t="shared" si="1"/>
        <v>March</v>
      </c>
    </row>
    <row r="48" spans="1:16" x14ac:dyDescent="0.25">
      <c r="A48" t="s">
        <v>184</v>
      </c>
      <c r="B48" s="10">
        <f>IFERROR(IFERROR(INT(VALUE(Raw_Data!B48)), DATE(RIGHT(TRIM(Raw_Data!B48),4), MID(TRIM(Raw_Data!B48),4,2), LEFT(TRIM(Raw_Data!B48),2))), "NA")</f>
        <v>45989</v>
      </c>
      <c r="C48" s="12" t="s">
        <v>165</v>
      </c>
      <c r="D48" s="12" t="str">
        <f>IF(OR(LOWER(TRIM(Raw_Data!D48))="north",LOWER(TRIM(Raw_Data!D48))="n.",LOWER(SUBSTITUTE(TRIM(Raw_Data!D48)," ",""))="north"),"North",IF(OR(LOWER(TRIM(Raw_Data!D48))="south",LOWER(TRIM(Raw_Data!D48))="s."),"South",IF(OR(LOWER(TRIM(Raw_Data!D48))="east",LOWER(TRIM(Raw_Data!D48))="e."),"East",IF(OR(LOWER(TRIM(Raw_Data!D48))="west",LOWER(TRIM(Raw_Data!D48))="w."),"West",IF(OR(LOWER(TRIM(Raw_Data!D48))="central",LOWER(TRIM(Raw_Data!D48))="c."),"Central","Unknown")))))</f>
        <v>South</v>
      </c>
      <c r="E48" s="12" t="s">
        <v>40</v>
      </c>
      <c r="F48" s="12" t="s">
        <v>41</v>
      </c>
      <c r="G48" s="12" t="s">
        <v>42</v>
      </c>
      <c r="H48" s="12">
        <f>IFERROR(VALUE(Raw_Data!H48),0)</f>
        <v>7</v>
      </c>
      <c r="I48" s="49">
        <f>IFERROR(VALUE(Raw_Data!I48),0)</f>
        <v>450</v>
      </c>
      <c r="J48" s="12">
        <f>IFERROR(VALUE(Raw_Data!J48),0)</f>
        <v>0.1</v>
      </c>
      <c r="K48" s="12" t="s">
        <v>51</v>
      </c>
      <c r="L48" s="12" t="str">
        <f>IF(COUNTIF($A$2:A48, A48)&gt;1, "Duplicate", "Valid")</f>
        <v>Valid</v>
      </c>
      <c r="M48" s="50">
        <f t="shared" si="0"/>
        <v>2835</v>
      </c>
      <c r="N48" t="str">
        <f>IF(COUNTIF($A$2:A48, A48)&gt;1, "Duplicate", IF(OR(B48="NA", ISERROR(B48), ISTEXT(B48)), "Invalid Date", IF(OR(C48=0, E48=0, H48=0, I48=0, J48=0), "Missing Data", "OK")))</f>
        <v>OK</v>
      </c>
      <c r="O48" t="str">
        <f>IFERROR(INDEX(Reps!$B:$B, MATCH(K48, Reps!$A:$A, 0)), "Not Found")</f>
        <v>Priya Iyer</v>
      </c>
      <c r="P48" t="str">
        <f t="shared" si="1"/>
        <v>November</v>
      </c>
    </row>
    <row r="49" spans="1:16" x14ac:dyDescent="0.25">
      <c r="A49" t="s">
        <v>186</v>
      </c>
      <c r="B49" s="10">
        <f>IFERROR(IFERROR(INT(VALUE(Raw_Data!B49)), DATE(RIGHT(TRIM(Raw_Data!B49),4), MID(TRIM(Raw_Data!B49),4,2), LEFT(TRIM(Raw_Data!B49),2))), "NA")</f>
        <v>45992</v>
      </c>
      <c r="C49" s="12" t="s">
        <v>97</v>
      </c>
      <c r="D49" s="12" t="str">
        <f>IF(OR(LOWER(TRIM(Raw_Data!D49))="north",LOWER(TRIM(Raw_Data!D49))="n.",LOWER(SUBSTITUTE(TRIM(Raw_Data!D49)," ",""))="north"),"North",IF(OR(LOWER(TRIM(Raw_Data!D49))="south",LOWER(TRIM(Raw_Data!D49))="s."),"South",IF(OR(LOWER(TRIM(Raw_Data!D49))="east",LOWER(TRIM(Raw_Data!D49))="e."),"East",IF(OR(LOWER(TRIM(Raw_Data!D49))="west",LOWER(TRIM(Raw_Data!D49))="w."),"West",IF(OR(LOWER(TRIM(Raw_Data!D49))="central",LOWER(TRIM(Raw_Data!D49))="c."),"Central","Unknown")))))</f>
        <v>Unknown</v>
      </c>
      <c r="E49" s="12" t="s">
        <v>98</v>
      </c>
      <c r="F49" s="12" t="s">
        <v>99</v>
      </c>
      <c r="G49" s="12" t="s">
        <v>50</v>
      </c>
      <c r="H49" s="12">
        <f>IFERROR(VALUE(Raw_Data!H49),0)</f>
        <v>4</v>
      </c>
      <c r="I49" s="49">
        <f>IFERROR(VALUE(Raw_Data!I49),0)</f>
        <v>28000</v>
      </c>
      <c r="J49" s="12">
        <f>IFERROR(VALUE(Raw_Data!J49),0)</f>
        <v>0.25</v>
      </c>
      <c r="K49" s="12" t="s">
        <v>51</v>
      </c>
      <c r="L49" s="12" t="str">
        <f>IF(COUNTIF($A$2:A49, A49)&gt;1, "Duplicate", "Valid")</f>
        <v>Valid</v>
      </c>
      <c r="M49" s="50">
        <f t="shared" si="0"/>
        <v>84000</v>
      </c>
      <c r="N49" t="str">
        <f>IF(COUNTIF($A$2:A49, A49)&gt;1, "Duplicate", IF(OR(B49="NA", ISERROR(B49), ISTEXT(B49)), "Invalid Date", IF(OR(C49=0, E49=0, H49=0, I49=0, J49=0), "Missing Data", "OK")))</f>
        <v>OK</v>
      </c>
      <c r="O49" t="str">
        <f>IFERROR(INDEX(Reps!$B:$B, MATCH(K49, Reps!$A:$A, 0)), "Not Found")</f>
        <v>Priya Iyer</v>
      </c>
      <c r="P49" t="str">
        <f t="shared" si="1"/>
        <v>December</v>
      </c>
    </row>
    <row r="50" spans="1:16" x14ac:dyDescent="0.25">
      <c r="A50" t="s">
        <v>187</v>
      </c>
      <c r="B50" s="10">
        <f>IFERROR(IFERROR(INT(VALUE(Raw_Data!B50)), DATE(RIGHT(TRIM(Raw_Data!B50),4), MID(TRIM(Raw_Data!B50),4,2), LEFT(TRIM(Raw_Data!B50),2))), "NA")</f>
        <v>45967</v>
      </c>
      <c r="C50" s="12" t="s">
        <v>189</v>
      </c>
      <c r="D50" s="12" t="str">
        <f>IF(OR(LOWER(TRIM(Raw_Data!D50))="north",LOWER(TRIM(Raw_Data!D50))="n.",LOWER(SUBSTITUTE(TRIM(Raw_Data!D50)," ",""))="north"),"North",IF(OR(LOWER(TRIM(Raw_Data!D50))="south",LOWER(TRIM(Raw_Data!D50))="s."),"South",IF(OR(LOWER(TRIM(Raw_Data!D50))="east",LOWER(TRIM(Raw_Data!D50))="e."),"East",IF(OR(LOWER(TRIM(Raw_Data!D50))="west",LOWER(TRIM(Raw_Data!D50))="w."),"West",IF(OR(LOWER(TRIM(Raw_Data!D50))="central",LOWER(TRIM(Raw_Data!D50))="c."),"Central","Unknown")))))</f>
        <v>North</v>
      </c>
      <c r="E50" s="12" t="s">
        <v>98</v>
      </c>
      <c r="F50" s="12" t="s">
        <v>99</v>
      </c>
      <c r="G50" s="12" t="s">
        <v>50</v>
      </c>
      <c r="H50" s="12">
        <f>IFERROR(VALUE(Raw_Data!H50),0)</f>
        <v>10</v>
      </c>
      <c r="I50" s="49">
        <f>IFERROR(VALUE(Raw_Data!I50),0)</f>
        <v>28000</v>
      </c>
      <c r="J50" s="12">
        <f>IFERROR(VALUE(Raw_Data!J50),0)</f>
        <v>0.25</v>
      </c>
      <c r="K50" s="12" t="s">
        <v>102</v>
      </c>
      <c r="L50" s="12" t="str">
        <f>IF(COUNTIF($A$2:A50, A50)&gt;1, "Duplicate", "Valid")</f>
        <v>Valid</v>
      </c>
      <c r="M50" s="50">
        <f t="shared" si="0"/>
        <v>210000</v>
      </c>
      <c r="N50" t="str">
        <f>IF(COUNTIF($A$2:A50, A50)&gt;1, "Duplicate", IF(OR(B50="NA", ISERROR(B50), ISTEXT(B50)), "Invalid Date", IF(OR(C50=0, E50=0, H50=0, I50=0, J50=0), "Missing Data", "OK")))</f>
        <v>OK</v>
      </c>
      <c r="O50" t="str">
        <f>IFERROR(INDEX(Reps!$B:$B, MATCH(K50, Reps!$A:$A, 0)), "Not Found")</f>
        <v>Anita Sharma</v>
      </c>
      <c r="P50" t="str">
        <f t="shared" si="1"/>
        <v>November</v>
      </c>
    </row>
    <row r="51" spans="1:16" x14ac:dyDescent="0.25">
      <c r="A51" t="s">
        <v>190</v>
      </c>
      <c r="B51" s="10">
        <f>IFERROR(IFERROR(INT(VALUE(Raw_Data!B51)), DATE(RIGHT(TRIM(Raw_Data!B51),4), MID(TRIM(Raw_Data!B51),4,2), LEFT(TRIM(Raw_Data!B51),2))), "NA")</f>
        <v>46090</v>
      </c>
      <c r="C51" s="12" t="s">
        <v>192</v>
      </c>
      <c r="D51" s="12" t="str">
        <f>IF(OR(LOWER(TRIM(Raw_Data!D51))="north",LOWER(TRIM(Raw_Data!D51))="n.",LOWER(SUBSTITUTE(TRIM(Raw_Data!D51)," ",""))="north"),"North",IF(OR(LOWER(TRIM(Raw_Data!D51))="south",LOWER(TRIM(Raw_Data!D51))="s."),"South",IF(OR(LOWER(TRIM(Raw_Data!D51))="east",LOWER(TRIM(Raw_Data!D51))="e."),"East",IF(OR(LOWER(TRIM(Raw_Data!D51))="west",LOWER(TRIM(Raw_Data!D51))="w."),"West",IF(OR(LOWER(TRIM(Raw_Data!D51))="central",LOWER(TRIM(Raw_Data!D51))="c."),"Central","Unknown")))))</f>
        <v>South</v>
      </c>
      <c r="E51" s="12" t="s">
        <v>89</v>
      </c>
      <c r="F51" s="12" t="s">
        <v>90</v>
      </c>
      <c r="G51" s="12" t="s">
        <v>91</v>
      </c>
      <c r="H51" s="12">
        <f>IFERROR(VALUE(Raw_Data!H51),0)</f>
        <v>3</v>
      </c>
      <c r="I51" s="49">
        <f>IFERROR(VALUE(Raw_Data!I51),0)</f>
        <v>2200</v>
      </c>
      <c r="J51" s="12">
        <f>IFERROR(VALUE(Raw_Data!J51),0)</f>
        <v>0.15</v>
      </c>
      <c r="K51" s="12" t="s">
        <v>79</v>
      </c>
      <c r="L51" s="12" t="str">
        <f>IF(COUNTIF($A$2:A51, A51)&gt;1, "Duplicate", "Valid")</f>
        <v>Valid</v>
      </c>
      <c r="M51" s="50">
        <f t="shared" si="0"/>
        <v>5610</v>
      </c>
      <c r="N51" t="str">
        <f>IF(COUNTIF($A$2:A51, A51)&gt;1, "Duplicate", IF(OR(B51="NA", ISERROR(B51), ISTEXT(B51)), "Invalid Date", IF(OR(C51=0, E51=0, H51=0, I51=0, J51=0), "Missing Data", "OK")))</f>
        <v>OK</v>
      </c>
      <c r="O51" t="str">
        <f>IFERROR(INDEX(Reps!$B:$B, MATCH(K51, Reps!$A:$A, 0)), "Not Found")</f>
        <v>Sneha Reddy</v>
      </c>
      <c r="P51" t="str">
        <f t="shared" si="1"/>
        <v>March</v>
      </c>
    </row>
    <row r="52" spans="1:16" x14ac:dyDescent="0.25">
      <c r="A52" t="s">
        <v>194</v>
      </c>
      <c r="B52" s="10">
        <f>IFERROR(IFERROR(INT(VALUE(Raw_Data!B52)), DATE(RIGHT(TRIM(Raw_Data!B52),4), MID(TRIM(Raw_Data!B52),4,2), LEFT(TRIM(Raw_Data!B52),2))), "NA")</f>
        <v>45669</v>
      </c>
      <c r="C52" s="12" t="s">
        <v>168</v>
      </c>
      <c r="D52" s="12" t="str">
        <f>IF(OR(LOWER(TRIM(Raw_Data!D52))="north",LOWER(TRIM(Raw_Data!D52))="n.",LOWER(SUBSTITUTE(TRIM(Raw_Data!D52)," ",""))="north"),"North",IF(OR(LOWER(TRIM(Raw_Data!D52))="south",LOWER(TRIM(Raw_Data!D52))="s."),"South",IF(OR(LOWER(TRIM(Raw_Data!D52))="east",LOWER(TRIM(Raw_Data!D52))="e."),"East",IF(OR(LOWER(TRIM(Raw_Data!D52))="west",LOWER(TRIM(Raw_Data!D52))="w."),"West",IF(OR(LOWER(TRIM(Raw_Data!D52))="central",LOWER(TRIM(Raw_Data!D52))="c."),"Central","Unknown")))))</f>
        <v>East</v>
      </c>
      <c r="E52" s="12" t="s">
        <v>135</v>
      </c>
      <c r="F52" s="12" t="s">
        <v>136</v>
      </c>
      <c r="G52" s="12" t="s">
        <v>50</v>
      </c>
      <c r="H52" s="12">
        <f>IFERROR(VALUE(Raw_Data!H52),0)</f>
        <v>3</v>
      </c>
      <c r="I52" s="49">
        <f>IFERROR(VALUE(Raw_Data!I52),0)</f>
        <v>9500</v>
      </c>
      <c r="J52" s="12">
        <f>IFERROR(VALUE(Raw_Data!J52),0)</f>
        <v>0</v>
      </c>
      <c r="K52" s="12" t="s">
        <v>102</v>
      </c>
      <c r="L52" s="12" t="str">
        <f>IF(COUNTIF($A$2:A52, A52)&gt;1, "Duplicate", "Valid")</f>
        <v>Valid</v>
      </c>
      <c r="M52" s="50">
        <f t="shared" si="0"/>
        <v>28500</v>
      </c>
      <c r="N52" t="str">
        <f>IF(COUNTIF($A$2:A52, A52)&gt;1, "Duplicate", IF(OR(B52="NA", ISERROR(B52), ISTEXT(B52)), "Invalid Date", IF(OR(C52=0, E52=0, H52=0, I52=0, J52=0), "Missing Data", "OK")))</f>
        <v>Missing Data</v>
      </c>
      <c r="O52" t="str">
        <f>IFERROR(INDEX(Reps!$B:$B, MATCH(K52, Reps!$A:$A, 0)), "Not Found")</f>
        <v>Anita Sharma</v>
      </c>
      <c r="P52" t="str">
        <f t="shared" si="1"/>
        <v>January</v>
      </c>
    </row>
    <row r="53" spans="1:16" x14ac:dyDescent="0.25">
      <c r="A53" t="s">
        <v>196</v>
      </c>
      <c r="B53" s="10">
        <f>IFERROR(IFERROR(INT(VALUE(Raw_Data!B53)), DATE(RIGHT(TRIM(Raw_Data!B53),4), MID(TRIM(Raw_Data!B53),4,2), LEFT(TRIM(Raw_Data!B53),2))), "NA")</f>
        <v>46663</v>
      </c>
      <c r="C53" s="12" t="s">
        <v>198</v>
      </c>
      <c r="D53" s="12" t="str">
        <f>IF(OR(LOWER(TRIM(Raw_Data!D53))="north",LOWER(TRIM(Raw_Data!D53))="n.",LOWER(SUBSTITUTE(TRIM(Raw_Data!D53)," ",""))="north"),"North",IF(OR(LOWER(TRIM(Raw_Data!D53))="south",LOWER(TRIM(Raw_Data!D53))="s."),"South",IF(OR(LOWER(TRIM(Raw_Data!D53))="east",LOWER(TRIM(Raw_Data!D53))="e."),"East",IF(OR(LOWER(TRIM(Raw_Data!D53))="west",LOWER(TRIM(Raw_Data!D53))="w."),"West",IF(OR(LOWER(TRIM(Raw_Data!D53))="central",LOWER(TRIM(Raw_Data!D53))="c."),"Central","Unknown")))))</f>
        <v>South</v>
      </c>
      <c r="E53" s="12" t="s">
        <v>89</v>
      </c>
      <c r="F53" s="12" t="s">
        <v>90</v>
      </c>
      <c r="G53" s="12" t="s">
        <v>91</v>
      </c>
      <c r="H53" s="12">
        <f>IFERROR(VALUE(Raw_Data!H53),0)</f>
        <v>9</v>
      </c>
      <c r="I53" s="49">
        <f>IFERROR(VALUE(Raw_Data!I53),0)</f>
        <v>2200</v>
      </c>
      <c r="J53" s="12">
        <f>IFERROR(VALUE(Raw_Data!J53),0)</f>
        <v>0</v>
      </c>
      <c r="K53" s="12" t="s">
        <v>43</v>
      </c>
      <c r="L53" s="12" t="str">
        <f>IF(COUNTIF($A$2:A53, A53)&gt;1, "Duplicate", "Valid")</f>
        <v>Valid</v>
      </c>
      <c r="M53" s="50">
        <f t="shared" si="0"/>
        <v>19800</v>
      </c>
      <c r="N53" t="str">
        <f>IF(COUNTIF($A$2:A53, A53)&gt;1, "Duplicate", IF(OR(B53="NA", ISERROR(B53), ISTEXT(B53)), "Invalid Date", IF(OR(C53=0, E53=0, H53=0, I53=0, J53=0), "Missing Data", "OK")))</f>
        <v>Missing Data</v>
      </c>
      <c r="O53" t="str">
        <f>IFERROR(INDEX(Reps!$B:$B, MATCH(K53, Reps!$A:$A, 0)), "Not Found")</f>
        <v>Karan Mehta</v>
      </c>
      <c r="P53" t="str">
        <f t="shared" si="1"/>
        <v>October</v>
      </c>
    </row>
    <row r="54" spans="1:16" x14ac:dyDescent="0.25">
      <c r="A54" t="s">
        <v>199</v>
      </c>
      <c r="B54" s="10">
        <f>IFERROR(IFERROR(INT(VALUE(Raw_Data!B54)), DATE(RIGHT(TRIM(Raw_Data!B54),4), MID(TRIM(Raw_Data!B54),4,2), LEFT(TRIM(Raw_Data!B54),2))), "NA")</f>
        <v>46020</v>
      </c>
      <c r="C54" s="12" t="s">
        <v>126</v>
      </c>
      <c r="D54" s="12" t="str">
        <f>IF(OR(LOWER(TRIM(Raw_Data!D54))="north",LOWER(TRIM(Raw_Data!D54))="n.",LOWER(SUBSTITUTE(TRIM(Raw_Data!D54)," ",""))="north"),"North",IF(OR(LOWER(TRIM(Raw_Data!D54))="south",LOWER(TRIM(Raw_Data!D54))="s."),"South",IF(OR(LOWER(TRIM(Raw_Data!D54))="east",LOWER(TRIM(Raw_Data!D54))="e."),"East",IF(OR(LOWER(TRIM(Raw_Data!D54))="west",LOWER(TRIM(Raw_Data!D54))="w."),"West",IF(OR(LOWER(TRIM(Raw_Data!D54))="central",LOWER(TRIM(Raw_Data!D54))="c."),"Central","Unknown")))))</f>
        <v>Central</v>
      </c>
      <c r="E54" s="12" t="s">
        <v>55</v>
      </c>
      <c r="F54" s="12" t="s">
        <v>56</v>
      </c>
      <c r="G54" s="12" t="s">
        <v>57</v>
      </c>
      <c r="H54" s="12">
        <f>IFERROR(VALUE(Raw_Data!H54),0)</f>
        <v>3</v>
      </c>
      <c r="I54" s="49">
        <f>IFERROR(VALUE(Raw_Data!I54),0)</f>
        <v>65000</v>
      </c>
      <c r="J54" s="12">
        <f>IFERROR(VALUE(Raw_Data!J54),0)</f>
        <v>0.1</v>
      </c>
      <c r="K54" s="12" t="s">
        <v>79</v>
      </c>
      <c r="L54" s="12" t="str">
        <f>IF(COUNTIF($A$2:A54, A54)&gt;1, "Duplicate", "Valid")</f>
        <v>Valid</v>
      </c>
      <c r="M54" s="50">
        <f t="shared" si="0"/>
        <v>175500</v>
      </c>
      <c r="N54" t="str">
        <f>IF(COUNTIF($A$2:A54, A54)&gt;1, "Duplicate", IF(OR(B54="NA", ISERROR(B54), ISTEXT(B54)), "Invalid Date", IF(OR(C54=0, E54=0, H54=0, I54=0, J54=0), "Missing Data", "OK")))</f>
        <v>OK</v>
      </c>
      <c r="O54" t="str">
        <f>IFERROR(INDEX(Reps!$B:$B, MATCH(K54, Reps!$A:$A, 0)), "Not Found")</f>
        <v>Sneha Reddy</v>
      </c>
      <c r="P54" t="str">
        <f t="shared" si="1"/>
        <v>December</v>
      </c>
    </row>
    <row r="55" spans="1:16" x14ac:dyDescent="0.25">
      <c r="A55" t="s">
        <v>201</v>
      </c>
      <c r="B55" s="10">
        <f>IFERROR(IFERROR(INT(VALUE(Raw_Data!B55)), DATE(RIGHT(TRIM(Raw_Data!B55),4), MID(TRIM(Raw_Data!B55),4,2), LEFT(TRIM(Raw_Data!B55),2))), "NA")</f>
        <v>46074</v>
      </c>
      <c r="C55" s="12" t="s">
        <v>144</v>
      </c>
      <c r="D55" s="12" t="str">
        <f>IF(OR(LOWER(TRIM(Raw_Data!D55))="north",LOWER(TRIM(Raw_Data!D55))="n.",LOWER(SUBSTITUTE(TRIM(Raw_Data!D55)," ",""))="north"),"North",IF(OR(LOWER(TRIM(Raw_Data!D55))="south",LOWER(TRIM(Raw_Data!D55))="s."),"South",IF(OR(LOWER(TRIM(Raw_Data!D55))="east",LOWER(TRIM(Raw_Data!D55))="e."),"East",IF(OR(LOWER(TRIM(Raw_Data!D55))="west",LOWER(TRIM(Raw_Data!D55))="w."),"West",IF(OR(LOWER(TRIM(Raw_Data!D55))="central",LOWER(TRIM(Raw_Data!D55))="c."),"Central","Unknown")))))</f>
        <v>East</v>
      </c>
      <c r="E55" s="12" t="s">
        <v>98</v>
      </c>
      <c r="F55" s="12" t="s">
        <v>99</v>
      </c>
      <c r="G55" s="12" t="s">
        <v>50</v>
      </c>
      <c r="H55" s="12">
        <f>IFERROR(VALUE(Raw_Data!H55),0)</f>
        <v>8</v>
      </c>
      <c r="I55" s="49">
        <f>IFERROR(VALUE(Raw_Data!I55),0)</f>
        <v>28000</v>
      </c>
      <c r="J55" s="12">
        <f>IFERROR(VALUE(Raw_Data!J55),0)</f>
        <v>0.1</v>
      </c>
      <c r="K55" s="12" t="s">
        <v>79</v>
      </c>
      <c r="L55" s="12" t="str">
        <f>IF(COUNTIF($A$2:A55, A55)&gt;1, "Duplicate", "Valid")</f>
        <v>Valid</v>
      </c>
      <c r="M55" s="50">
        <f t="shared" si="0"/>
        <v>201600</v>
      </c>
      <c r="N55" t="str">
        <f>IF(COUNTIF($A$2:A55, A55)&gt;1, "Duplicate", IF(OR(B55="NA", ISERROR(B55), ISTEXT(B55)), "Invalid Date", IF(OR(C55=0, E55=0, H55=0, I55=0, J55=0), "Missing Data", "OK")))</f>
        <v>OK</v>
      </c>
      <c r="O55" t="str">
        <f>IFERROR(INDEX(Reps!$B:$B, MATCH(K55, Reps!$A:$A, 0)), "Not Found")</f>
        <v>Sneha Reddy</v>
      </c>
      <c r="P55" t="str">
        <f t="shared" si="1"/>
        <v>February</v>
      </c>
    </row>
    <row r="56" spans="1:16" x14ac:dyDescent="0.25">
      <c r="A56" t="s">
        <v>203</v>
      </c>
      <c r="B56" s="10">
        <f>IFERROR(IFERROR(INT(VALUE(Raw_Data!B56)), DATE(RIGHT(TRIM(Raw_Data!B56),4), MID(TRIM(Raw_Data!B56),4,2), LEFT(TRIM(Raw_Data!B56),2))), "NA")</f>
        <v>46115</v>
      </c>
      <c r="C56" s="12" t="s">
        <v>123</v>
      </c>
      <c r="D56" s="12" t="str">
        <f>IF(OR(LOWER(TRIM(Raw_Data!D56))="north",LOWER(TRIM(Raw_Data!D56))="n.",LOWER(SUBSTITUTE(TRIM(Raw_Data!D56)," ",""))="north"),"North",IF(OR(LOWER(TRIM(Raw_Data!D56))="south",LOWER(TRIM(Raw_Data!D56))="s."),"South",IF(OR(LOWER(TRIM(Raw_Data!D56))="east",LOWER(TRIM(Raw_Data!D56))="e."),"East",IF(OR(LOWER(TRIM(Raw_Data!D56))="west",LOWER(TRIM(Raw_Data!D56))="w."),"West",IF(OR(LOWER(TRIM(Raw_Data!D56))="central",LOWER(TRIM(Raw_Data!D56))="c."),"Central","Unknown")))))</f>
        <v>East</v>
      </c>
      <c r="E56" s="12" t="s">
        <v>135</v>
      </c>
      <c r="F56" s="12" t="s">
        <v>136</v>
      </c>
      <c r="G56" s="12" t="s">
        <v>50</v>
      </c>
      <c r="H56" s="12">
        <f>IFERROR(VALUE(Raw_Data!H56),0)</f>
        <v>6</v>
      </c>
      <c r="I56" s="49">
        <f>IFERROR(VALUE(Raw_Data!I56),0)</f>
        <v>9500</v>
      </c>
      <c r="J56" s="12">
        <f>IFERROR(VALUE(Raw_Data!J56),0)</f>
        <v>0</v>
      </c>
      <c r="K56" s="12" t="s">
        <v>43</v>
      </c>
      <c r="L56" s="12" t="str">
        <f>IF(COUNTIF($A$2:A56, A56)&gt;1, "Duplicate", "Valid")</f>
        <v>Valid</v>
      </c>
      <c r="M56" s="50">
        <f t="shared" si="0"/>
        <v>57000</v>
      </c>
      <c r="N56" t="str">
        <f>IF(COUNTIF($A$2:A56, A56)&gt;1, "Duplicate", IF(OR(B56="NA", ISERROR(B56), ISTEXT(B56)), "Invalid Date", IF(OR(C56=0, E56=0, H56=0, I56=0, J56=0), "Missing Data", "OK")))</f>
        <v>Missing Data</v>
      </c>
      <c r="O56" t="str">
        <f>IFERROR(INDEX(Reps!$B:$B, MATCH(K56, Reps!$A:$A, 0)), "Not Found")</f>
        <v>Karan Mehta</v>
      </c>
      <c r="P56" t="str">
        <f t="shared" si="1"/>
        <v>April</v>
      </c>
    </row>
    <row r="57" spans="1:16" x14ac:dyDescent="0.25">
      <c r="A57" t="s">
        <v>205</v>
      </c>
      <c r="B57" s="10">
        <f>IFERROR(IFERROR(INT(VALUE(Raw_Data!B57)), DATE(RIGHT(TRIM(Raw_Data!B57),4), MID(TRIM(Raw_Data!B57),4,2), LEFT(TRIM(Raw_Data!B57),2))), "NA")</f>
        <v>46135</v>
      </c>
      <c r="C57" s="12" t="s">
        <v>109</v>
      </c>
      <c r="D57" s="12" t="str">
        <f>IF(OR(LOWER(TRIM(Raw_Data!D57))="north",LOWER(TRIM(Raw_Data!D57))="n.",LOWER(SUBSTITUTE(TRIM(Raw_Data!D57)," ",""))="north"),"North",IF(OR(LOWER(TRIM(Raw_Data!D57))="south",LOWER(TRIM(Raw_Data!D57))="s."),"South",IF(OR(LOWER(TRIM(Raw_Data!D57))="east",LOWER(TRIM(Raw_Data!D57))="e."),"East",IF(OR(LOWER(TRIM(Raw_Data!D57))="west",LOWER(TRIM(Raw_Data!D57))="w."),"West",IF(OR(LOWER(TRIM(Raw_Data!D57))="central",LOWER(TRIM(Raw_Data!D57))="c."),"Central","Unknown")))))</f>
        <v>North</v>
      </c>
      <c r="E57" s="12" t="s">
        <v>127</v>
      </c>
      <c r="F57" s="12" t="s">
        <v>128</v>
      </c>
      <c r="G57" s="12" t="s">
        <v>57</v>
      </c>
      <c r="H57" s="12">
        <f>IFERROR(VALUE(Raw_Data!H57),0)</f>
        <v>4</v>
      </c>
      <c r="I57" s="49">
        <f>IFERROR(VALUE(Raw_Data!I57),0)</f>
        <v>4500</v>
      </c>
      <c r="J57" s="12">
        <f>IFERROR(VALUE(Raw_Data!J57),0)</f>
        <v>0.25</v>
      </c>
      <c r="K57" s="12" t="s">
        <v>102</v>
      </c>
      <c r="L57" s="12" t="str">
        <f>IF(COUNTIF($A$2:A57, A57)&gt;1, "Duplicate", "Valid")</f>
        <v>Valid</v>
      </c>
      <c r="M57" s="50">
        <f t="shared" si="0"/>
        <v>13500</v>
      </c>
      <c r="N57" t="str">
        <f>IF(COUNTIF($A$2:A57, A57)&gt;1, "Duplicate", IF(OR(B57="NA", ISERROR(B57), ISTEXT(B57)), "Invalid Date", IF(OR(C57=0, E57=0, H57=0, I57=0, J57=0), "Missing Data", "OK")))</f>
        <v>OK</v>
      </c>
      <c r="O57" t="str">
        <f>IFERROR(INDEX(Reps!$B:$B, MATCH(K57, Reps!$A:$A, 0)), "Not Found")</f>
        <v>Anita Sharma</v>
      </c>
      <c r="P57" t="str">
        <f t="shared" si="1"/>
        <v>April</v>
      </c>
    </row>
    <row r="58" spans="1:16" x14ac:dyDescent="0.25">
      <c r="A58" t="s">
        <v>207</v>
      </c>
      <c r="B58" s="10">
        <f>IFERROR(IFERROR(INT(VALUE(Raw_Data!B58)), DATE(RIGHT(TRIM(Raw_Data!B58),4), MID(TRIM(Raw_Data!B58),4,2), LEFT(TRIM(Raw_Data!B58),2))), "NA")</f>
        <v>46299</v>
      </c>
      <c r="C58" s="12" t="s">
        <v>189</v>
      </c>
      <c r="D58" s="12" t="str">
        <f>IF(OR(LOWER(TRIM(Raw_Data!D58))="north",LOWER(TRIM(Raw_Data!D58))="n.",LOWER(SUBSTITUTE(TRIM(Raw_Data!D58)," ",""))="north"),"North",IF(OR(LOWER(TRIM(Raw_Data!D58))="south",LOWER(TRIM(Raw_Data!D58))="s."),"South",IF(OR(LOWER(TRIM(Raw_Data!D58))="east",LOWER(TRIM(Raw_Data!D58))="e."),"East",IF(OR(LOWER(TRIM(Raw_Data!D58))="west",LOWER(TRIM(Raw_Data!D58))="w."),"West",IF(OR(LOWER(TRIM(Raw_Data!D58))="central",LOWER(TRIM(Raw_Data!D58))="c."),"Central","Unknown")))))</f>
        <v>North</v>
      </c>
      <c r="E58" s="12" t="s">
        <v>48</v>
      </c>
      <c r="F58" s="12" t="s">
        <v>49</v>
      </c>
      <c r="G58" s="12" t="s">
        <v>50</v>
      </c>
      <c r="H58" s="12">
        <f>IFERROR(VALUE(Raw_Data!H58),0)</f>
        <v>4</v>
      </c>
      <c r="I58" s="49">
        <f>IFERROR(VALUE(Raw_Data!I58),0)</f>
        <v>12000</v>
      </c>
      <c r="J58" s="12">
        <f>IFERROR(VALUE(Raw_Data!J58),0)</f>
        <v>0</v>
      </c>
      <c r="K58" s="12" t="s">
        <v>43</v>
      </c>
      <c r="L58" s="12" t="str">
        <f>IF(COUNTIF($A$2:A58, A58)&gt;1, "Duplicate", "Valid")</f>
        <v>Valid</v>
      </c>
      <c r="M58" s="50">
        <f t="shared" si="0"/>
        <v>48000</v>
      </c>
      <c r="N58" t="str">
        <f>IF(COUNTIF($A$2:A58, A58)&gt;1, "Duplicate", IF(OR(B58="NA", ISERROR(B58), ISTEXT(B58)), "Invalid Date", IF(OR(C58=0, E58=0, H58=0, I58=0, J58=0), "Missing Data", "OK")))</f>
        <v>Missing Data</v>
      </c>
      <c r="O58" t="str">
        <f>IFERROR(INDEX(Reps!$B:$B, MATCH(K58, Reps!$A:$A, 0)), "Not Found")</f>
        <v>Karan Mehta</v>
      </c>
      <c r="P58" t="str">
        <f t="shared" si="1"/>
        <v>October</v>
      </c>
    </row>
    <row r="59" spans="1:16" x14ac:dyDescent="0.25">
      <c r="A59" t="s">
        <v>210</v>
      </c>
      <c r="B59" s="10">
        <f>IFERROR(IFERROR(INT(VALUE(Raw_Data!B59)), DATE(RIGHT(TRIM(Raw_Data!B59),4), MID(TRIM(Raw_Data!B59),4,2), LEFT(TRIM(Raw_Data!B59),2))), "NA")</f>
        <v>46390</v>
      </c>
      <c r="C59" s="12" t="s">
        <v>156</v>
      </c>
      <c r="D59" s="12" t="str">
        <f>IF(OR(LOWER(TRIM(Raw_Data!D59))="north",LOWER(TRIM(Raw_Data!D59))="n.",LOWER(SUBSTITUTE(TRIM(Raw_Data!D59)," ",""))="north"),"North",IF(OR(LOWER(TRIM(Raw_Data!D59))="south",LOWER(TRIM(Raw_Data!D59))="s."),"South",IF(OR(LOWER(TRIM(Raw_Data!D59))="east",LOWER(TRIM(Raw_Data!D59))="e."),"East",IF(OR(LOWER(TRIM(Raw_Data!D59))="west",LOWER(TRIM(Raw_Data!D59))="w."),"West",IF(OR(LOWER(TRIM(Raw_Data!D59))="central",LOWER(TRIM(Raw_Data!D59))="c."),"Central","Unknown")))))</f>
        <v>South</v>
      </c>
      <c r="E59" s="12" t="s">
        <v>111</v>
      </c>
      <c r="F59" s="12" t="s">
        <v>112</v>
      </c>
      <c r="G59" s="12" t="s">
        <v>57</v>
      </c>
      <c r="H59" s="12">
        <f>IFERROR(VALUE(Raw_Data!H59),0)</f>
        <v>8</v>
      </c>
      <c r="I59" s="49">
        <f>IFERROR(VALUE(Raw_Data!I59),0)</f>
        <v>18000</v>
      </c>
      <c r="J59" s="12">
        <f>IFERROR(VALUE(Raw_Data!J59),0)</f>
        <v>0.2</v>
      </c>
      <c r="K59" s="12" t="s">
        <v>43</v>
      </c>
      <c r="L59" s="12" t="str">
        <f>IF(COUNTIF($A$2:A59, A59)&gt;1, "Duplicate", "Valid")</f>
        <v>Valid</v>
      </c>
      <c r="M59" s="50">
        <f t="shared" si="0"/>
        <v>115200</v>
      </c>
      <c r="N59" t="str">
        <f>IF(COUNTIF($A$2:A59, A59)&gt;1, "Duplicate", IF(OR(B59="NA", ISERROR(B59), ISTEXT(B59)), "Invalid Date", IF(OR(C59=0, E59=0, H59=0, I59=0, J59=0), "Missing Data", "OK")))</f>
        <v>OK</v>
      </c>
      <c r="O59" t="str">
        <f>IFERROR(INDEX(Reps!$B:$B, MATCH(K59, Reps!$A:$A, 0)), "Not Found")</f>
        <v>Karan Mehta</v>
      </c>
      <c r="P59" t="str">
        <f t="shared" si="1"/>
        <v>January</v>
      </c>
    </row>
    <row r="60" spans="1:16" x14ac:dyDescent="0.25">
      <c r="A60" t="s">
        <v>212</v>
      </c>
      <c r="B60" s="10">
        <f>IFERROR(IFERROR(INT(VALUE(Raw_Data!B60)), DATE(RIGHT(TRIM(Raw_Data!B60),4), MID(TRIM(Raw_Data!B60),4,2), LEFT(TRIM(Raw_Data!B60),2))), "NA")</f>
        <v>45976</v>
      </c>
      <c r="C60" s="12" t="s">
        <v>214</v>
      </c>
      <c r="D60" s="12" t="str">
        <f>IF(OR(LOWER(TRIM(Raw_Data!D60))="north",LOWER(TRIM(Raw_Data!D60))="n.",LOWER(SUBSTITUTE(TRIM(Raw_Data!D60)," ",""))="north"),"North",IF(OR(LOWER(TRIM(Raw_Data!D60))="south",LOWER(TRIM(Raw_Data!D60))="s."),"South",IF(OR(LOWER(TRIM(Raw_Data!D60))="east",LOWER(TRIM(Raw_Data!D60))="e."),"East",IF(OR(LOWER(TRIM(Raw_Data!D60))="west",LOWER(TRIM(Raw_Data!D60))="w."),"West",IF(OR(LOWER(TRIM(Raw_Data!D60))="central",LOWER(TRIM(Raw_Data!D60))="c."),"Central","Unknown")))))</f>
        <v>East</v>
      </c>
      <c r="E60" s="12" t="s">
        <v>135</v>
      </c>
      <c r="F60" s="12" t="s">
        <v>136</v>
      </c>
      <c r="G60" s="12" t="s">
        <v>50</v>
      </c>
      <c r="H60" s="12">
        <f>IFERROR(VALUE(Raw_Data!H60),0)</f>
        <v>12</v>
      </c>
      <c r="I60" s="49">
        <f>IFERROR(VALUE(Raw_Data!I60),0)</f>
        <v>9500</v>
      </c>
      <c r="J60" s="12">
        <f>IFERROR(VALUE(Raw_Data!J60),0)</f>
        <v>0</v>
      </c>
      <c r="K60" s="12" t="s">
        <v>79</v>
      </c>
      <c r="L60" s="12" t="str">
        <f>IF(COUNTIF($A$2:A60, A60)&gt;1, "Duplicate", "Valid")</f>
        <v>Valid</v>
      </c>
      <c r="M60" s="50">
        <f t="shared" si="0"/>
        <v>114000</v>
      </c>
      <c r="N60" t="str">
        <f>IF(COUNTIF($A$2:A60, A60)&gt;1, "Duplicate", IF(OR(B60="NA", ISERROR(B60), ISTEXT(B60)), "Invalid Date", IF(OR(C60=0, E60=0, H60=0, I60=0, J60=0), "Missing Data", "OK")))</f>
        <v>Missing Data</v>
      </c>
      <c r="O60" t="str">
        <f>IFERROR(INDEX(Reps!$B:$B, MATCH(K60, Reps!$A:$A, 0)), "Not Found")</f>
        <v>Sneha Reddy</v>
      </c>
      <c r="P60" t="str">
        <f t="shared" si="1"/>
        <v>November</v>
      </c>
    </row>
    <row r="61" spans="1:16" x14ac:dyDescent="0.25">
      <c r="A61" t="s">
        <v>215</v>
      </c>
      <c r="B61" s="10">
        <f>IFERROR(IFERROR(INT(VALUE(Raw_Data!B61)), DATE(RIGHT(TRIM(Raw_Data!B61),4), MID(TRIM(Raw_Data!B61),4,2), LEFT(TRIM(Raw_Data!B61),2))), "NA")</f>
        <v>46052</v>
      </c>
      <c r="C61" s="12" t="s">
        <v>217</v>
      </c>
      <c r="D61" s="12" t="str">
        <f>IF(OR(LOWER(TRIM(Raw_Data!D61))="north",LOWER(TRIM(Raw_Data!D61))="n.",LOWER(SUBSTITUTE(TRIM(Raw_Data!D61)," ",""))="north"),"North",IF(OR(LOWER(TRIM(Raw_Data!D61))="south",LOWER(TRIM(Raw_Data!D61))="s."),"South",IF(OR(LOWER(TRIM(Raw_Data!D61))="east",LOWER(TRIM(Raw_Data!D61))="e."),"East",IF(OR(LOWER(TRIM(Raw_Data!D61))="west",LOWER(TRIM(Raw_Data!D61))="w."),"West",IF(OR(LOWER(TRIM(Raw_Data!D61))="central",LOWER(TRIM(Raw_Data!D61))="c."),"Central","Unknown")))))</f>
        <v>East</v>
      </c>
      <c r="E61" s="12" t="s">
        <v>77</v>
      </c>
      <c r="F61" s="12" t="s">
        <v>78</v>
      </c>
      <c r="G61" s="12" t="s">
        <v>57</v>
      </c>
      <c r="H61" s="12">
        <f>IFERROR(VALUE(Raw_Data!H61),0)</f>
        <v>10</v>
      </c>
      <c r="I61" s="49">
        <f>IFERROR(VALUE(Raw_Data!I61),0)</f>
        <v>3500</v>
      </c>
      <c r="J61" s="12">
        <f>IFERROR(VALUE(Raw_Data!J61),0)</f>
        <v>0.25</v>
      </c>
      <c r="K61" s="12" t="s">
        <v>102</v>
      </c>
      <c r="L61" s="12" t="str">
        <f>IF(COUNTIF($A$2:A61, A61)&gt;1, "Duplicate", "Valid")</f>
        <v>Valid</v>
      </c>
      <c r="M61" s="50">
        <f t="shared" si="0"/>
        <v>26250</v>
      </c>
      <c r="N61" t="str">
        <f>IF(COUNTIF($A$2:A61, A61)&gt;1, "Duplicate", IF(OR(B61="NA", ISERROR(B61), ISTEXT(B61)), "Invalid Date", IF(OR(C61=0, E61=0, H61=0, I61=0, J61=0), "Missing Data", "OK")))</f>
        <v>OK</v>
      </c>
      <c r="O61" t="str">
        <f>IFERROR(INDEX(Reps!$B:$B, MATCH(K61, Reps!$A:$A, 0)), "Not Found")</f>
        <v>Anita Sharma</v>
      </c>
      <c r="P61" t="str">
        <f t="shared" si="1"/>
        <v>January</v>
      </c>
    </row>
    <row r="62" spans="1:16" x14ac:dyDescent="0.25">
      <c r="A62" t="s">
        <v>218</v>
      </c>
      <c r="B62" s="10">
        <f>IFERROR(IFERROR(INT(VALUE(Raw_Data!B62)), DATE(RIGHT(TRIM(Raw_Data!B62),4), MID(TRIM(Raw_Data!B62),4,2), LEFT(TRIM(Raw_Data!B62),2))), "NA")</f>
        <v>46121</v>
      </c>
      <c r="C62" s="12" t="s">
        <v>156</v>
      </c>
      <c r="D62" s="12" t="str">
        <f>IF(OR(LOWER(TRIM(Raw_Data!D62))="north",LOWER(TRIM(Raw_Data!D62))="n.",LOWER(SUBSTITUTE(TRIM(Raw_Data!D62)," ",""))="north"),"North",IF(OR(LOWER(TRIM(Raw_Data!D62))="south",LOWER(TRIM(Raw_Data!D62))="s."),"South",IF(OR(LOWER(TRIM(Raw_Data!D62))="east",LOWER(TRIM(Raw_Data!D62))="e."),"East",IF(OR(LOWER(TRIM(Raw_Data!D62))="west",LOWER(TRIM(Raw_Data!D62))="w."),"West",IF(OR(LOWER(TRIM(Raw_Data!D62))="central",LOWER(TRIM(Raw_Data!D62))="c."),"Central","Unknown")))))</f>
        <v>East</v>
      </c>
      <c r="E62" s="12" t="s">
        <v>135</v>
      </c>
      <c r="F62" s="12" t="s">
        <v>136</v>
      </c>
      <c r="G62" s="12" t="s">
        <v>50</v>
      </c>
      <c r="H62" s="12">
        <f>IFERROR(VALUE(Raw_Data!H62),0)</f>
        <v>7</v>
      </c>
      <c r="I62" s="49">
        <f>IFERROR(VALUE(Raw_Data!I62),0)</f>
        <v>9500</v>
      </c>
      <c r="J62" s="12">
        <f>IFERROR(VALUE(Raw_Data!J62),0)</f>
        <v>0.2</v>
      </c>
      <c r="K62" s="12" t="s">
        <v>79</v>
      </c>
      <c r="L62" s="12" t="str">
        <f>IF(COUNTIF($A$2:A62, A62)&gt;1, "Duplicate", "Valid")</f>
        <v>Valid</v>
      </c>
      <c r="M62" s="50">
        <f t="shared" si="0"/>
        <v>53200</v>
      </c>
      <c r="N62" t="str">
        <f>IF(COUNTIF($A$2:A62, A62)&gt;1, "Duplicate", IF(OR(B62="NA", ISERROR(B62), ISTEXT(B62)), "Invalid Date", IF(OR(C62=0, E62=0, H62=0, I62=0, J62=0), "Missing Data", "OK")))</f>
        <v>OK</v>
      </c>
      <c r="O62" t="str">
        <f>IFERROR(INDEX(Reps!$B:$B, MATCH(K62, Reps!$A:$A, 0)), "Not Found")</f>
        <v>Sneha Reddy</v>
      </c>
      <c r="P62" t="str">
        <f t="shared" si="1"/>
        <v>April</v>
      </c>
    </row>
    <row r="63" spans="1:16" x14ac:dyDescent="0.25">
      <c r="A63" t="s">
        <v>220</v>
      </c>
      <c r="B63" s="10">
        <f>IFERROR(IFERROR(INT(VALUE(Raw_Data!B63)), DATE(RIGHT(TRIM(Raw_Data!B63),4), MID(TRIM(Raw_Data!B63),4,2), LEFT(TRIM(Raw_Data!B63),2))), "NA")</f>
        <v>46600</v>
      </c>
      <c r="C63" s="12" t="s">
        <v>148</v>
      </c>
      <c r="D63" s="12" t="str">
        <f>IF(OR(LOWER(TRIM(Raw_Data!D63))="north",LOWER(TRIM(Raw_Data!D63))="n.",LOWER(SUBSTITUTE(TRIM(Raw_Data!D63)," ",""))="north"),"North",IF(OR(LOWER(TRIM(Raw_Data!D63))="south",LOWER(TRIM(Raw_Data!D63))="s."),"South",IF(OR(LOWER(TRIM(Raw_Data!D63))="east",LOWER(TRIM(Raw_Data!D63))="e."),"East",IF(OR(LOWER(TRIM(Raw_Data!D63))="west",LOWER(TRIM(Raw_Data!D63))="w."),"West",IF(OR(LOWER(TRIM(Raw_Data!D63))="central",LOWER(TRIM(Raw_Data!D63))="c."),"Central","Unknown")))))</f>
        <v>East</v>
      </c>
      <c r="E63" s="12" t="s">
        <v>77</v>
      </c>
      <c r="F63" s="12" t="s">
        <v>78</v>
      </c>
      <c r="G63" s="12" t="s">
        <v>57</v>
      </c>
      <c r="H63" s="12">
        <f>IFERROR(VALUE(Raw_Data!H63),0)</f>
        <v>3</v>
      </c>
      <c r="I63" s="49">
        <f>IFERROR(VALUE(Raw_Data!I63),0)</f>
        <v>3500</v>
      </c>
      <c r="J63" s="12">
        <f>IFERROR(VALUE(Raw_Data!J63),0)</f>
        <v>0.15</v>
      </c>
      <c r="K63" s="12" t="s">
        <v>70</v>
      </c>
      <c r="L63" s="12" t="str">
        <f>IF(COUNTIF($A$2:A63, A63)&gt;1, "Duplicate", "Valid")</f>
        <v>Valid</v>
      </c>
      <c r="M63" s="50">
        <f t="shared" si="0"/>
        <v>8925</v>
      </c>
      <c r="N63" t="str">
        <f>IF(COUNTIF($A$2:A63, A63)&gt;1, "Duplicate", IF(OR(B63="NA", ISERROR(B63), ISTEXT(B63)), "Invalid Date", IF(OR(C63=0, E63=0, H63=0, I63=0, J63=0), "Missing Data", "OK")))</f>
        <v>OK</v>
      </c>
      <c r="O63" t="str">
        <f>IFERROR(INDEX(Reps!$B:$B, MATCH(K63, Reps!$A:$A, 0)), "Not Found")</f>
        <v>Vikram Nair</v>
      </c>
      <c r="P63" t="str">
        <f t="shared" si="1"/>
        <v>August</v>
      </c>
    </row>
    <row r="64" spans="1:16" x14ac:dyDescent="0.25">
      <c r="A64" t="s">
        <v>222</v>
      </c>
      <c r="B64" s="10">
        <f>IFERROR(IFERROR(INT(VALUE(Raw_Data!B64)), DATE(RIGHT(TRIM(Raw_Data!B64),4), MID(TRIM(Raw_Data!B64),4,2), LEFT(TRIM(Raw_Data!B64),2))), "NA")</f>
        <v>45997</v>
      </c>
      <c r="C64" s="12" t="s">
        <v>160</v>
      </c>
      <c r="D64" s="12" t="str">
        <f>IF(OR(LOWER(TRIM(Raw_Data!D64))="north",LOWER(TRIM(Raw_Data!D64))="n.",LOWER(SUBSTITUTE(TRIM(Raw_Data!D64)," ",""))="north"),"North",IF(OR(LOWER(TRIM(Raw_Data!D64))="south",LOWER(TRIM(Raw_Data!D64))="s."),"South",IF(OR(LOWER(TRIM(Raw_Data!D64))="east",LOWER(TRIM(Raw_Data!D64))="e."),"East",IF(OR(LOWER(TRIM(Raw_Data!D64))="west",LOWER(TRIM(Raw_Data!D64))="w."),"West",IF(OR(LOWER(TRIM(Raw_Data!D64))="central",LOWER(TRIM(Raw_Data!D64))="c."),"Central","Unknown")))))</f>
        <v>East</v>
      </c>
      <c r="E64" s="12" t="s">
        <v>48</v>
      </c>
      <c r="F64" s="12" t="s">
        <v>49</v>
      </c>
      <c r="G64" s="12" t="s">
        <v>50</v>
      </c>
      <c r="H64" s="12">
        <f>IFERROR(VALUE(Raw_Data!H64),0)</f>
        <v>7</v>
      </c>
      <c r="I64" s="49">
        <f>IFERROR(VALUE(Raw_Data!I64),0)</f>
        <v>12000</v>
      </c>
      <c r="J64" s="12">
        <f>IFERROR(VALUE(Raw_Data!J64),0)</f>
        <v>0</v>
      </c>
      <c r="K64" s="12" t="s">
        <v>51</v>
      </c>
      <c r="L64" s="12" t="str">
        <f>IF(COUNTIF($A$2:A64, A64)&gt;1, "Duplicate", "Valid")</f>
        <v>Valid</v>
      </c>
      <c r="M64" s="50">
        <f t="shared" si="0"/>
        <v>84000</v>
      </c>
      <c r="N64" t="str">
        <f>IF(COUNTIF($A$2:A64, A64)&gt;1, "Duplicate", IF(OR(B64="NA", ISERROR(B64), ISTEXT(B64)), "Invalid Date", IF(OR(C64=0, E64=0, H64=0, I64=0, J64=0), "Missing Data", "OK")))</f>
        <v>Missing Data</v>
      </c>
      <c r="O64" t="str">
        <f>IFERROR(INDEX(Reps!$B:$B, MATCH(K64, Reps!$A:$A, 0)), "Not Found")</f>
        <v>Priya Iyer</v>
      </c>
      <c r="P64" t="str">
        <f t="shared" si="1"/>
        <v>December</v>
      </c>
    </row>
    <row r="65" spans="1:16" x14ac:dyDescent="0.25">
      <c r="A65" t="s">
        <v>224</v>
      </c>
      <c r="B65" s="10">
        <f>IFERROR(IFERROR(INT(VALUE(Raw_Data!B65)), DATE(RIGHT(TRIM(Raw_Data!B65),4), MID(TRIM(Raw_Data!B65),4,2), LEFT(TRIM(Raw_Data!B65),2))), "NA")</f>
        <v>46125</v>
      </c>
      <c r="C65" s="12" t="s">
        <v>226</v>
      </c>
      <c r="D65" s="12" t="str">
        <f>IF(OR(LOWER(TRIM(Raw_Data!D65))="north",LOWER(TRIM(Raw_Data!D65))="n.",LOWER(SUBSTITUTE(TRIM(Raw_Data!D65)," ",""))="north"),"North",IF(OR(LOWER(TRIM(Raw_Data!D65))="south",LOWER(TRIM(Raw_Data!D65))="s."),"South",IF(OR(LOWER(TRIM(Raw_Data!D65))="east",LOWER(TRIM(Raw_Data!D65))="e."),"East",IF(OR(LOWER(TRIM(Raw_Data!D65))="west",LOWER(TRIM(Raw_Data!D65))="w."),"West",IF(OR(LOWER(TRIM(Raw_Data!D65))="central",LOWER(TRIM(Raw_Data!D65))="c."),"Central","Unknown")))))</f>
        <v>South</v>
      </c>
      <c r="E65" s="12" t="s">
        <v>98</v>
      </c>
      <c r="F65" s="12" t="s">
        <v>99</v>
      </c>
      <c r="G65" s="12" t="s">
        <v>50</v>
      </c>
      <c r="H65" s="12">
        <f>IFERROR(VALUE(Raw_Data!H65),0)</f>
        <v>4</v>
      </c>
      <c r="I65" s="49">
        <f>IFERROR(VALUE(Raw_Data!I65),0)</f>
        <v>28000</v>
      </c>
      <c r="J65" s="12">
        <f>IFERROR(VALUE(Raw_Data!J65),0)</f>
        <v>0.25</v>
      </c>
      <c r="K65" s="12" t="s">
        <v>102</v>
      </c>
      <c r="L65" s="12" t="str">
        <f>IF(COUNTIF($A$2:A65, A65)&gt;1, "Duplicate", "Valid")</f>
        <v>Valid</v>
      </c>
      <c r="M65" s="50">
        <f t="shared" si="0"/>
        <v>84000</v>
      </c>
      <c r="N65" t="str">
        <f>IF(COUNTIF($A$2:A65, A65)&gt;1, "Duplicate", IF(OR(B65="NA", ISERROR(B65), ISTEXT(B65)), "Invalid Date", IF(OR(C65=0, E65=0, H65=0, I65=0, J65=0), "Missing Data", "OK")))</f>
        <v>OK</v>
      </c>
      <c r="O65" t="str">
        <f>IFERROR(INDEX(Reps!$B:$B, MATCH(K65, Reps!$A:$A, 0)), "Not Found")</f>
        <v>Anita Sharma</v>
      </c>
      <c r="P65" t="str">
        <f t="shared" si="1"/>
        <v>April</v>
      </c>
    </row>
    <row r="66" spans="1:16" x14ac:dyDescent="0.25">
      <c r="A66" t="s">
        <v>227</v>
      </c>
      <c r="B66" s="10">
        <f>IFERROR(IFERROR(INT(VALUE(Raw_Data!B66)), DATE(RIGHT(TRIM(Raw_Data!B66),4), MID(TRIM(Raw_Data!B66),4,2), LEFT(TRIM(Raw_Data!B66),2))), "NA")</f>
        <v>46015</v>
      </c>
      <c r="C66" s="12" t="s">
        <v>64</v>
      </c>
      <c r="D66" s="12" t="str">
        <f>IF(OR(LOWER(TRIM(Raw_Data!D66))="north",LOWER(TRIM(Raw_Data!D66))="n.",LOWER(SUBSTITUTE(TRIM(Raw_Data!D66)," ",""))="north"),"North",IF(OR(LOWER(TRIM(Raw_Data!D66))="south",LOWER(TRIM(Raw_Data!D66))="s."),"South",IF(OR(LOWER(TRIM(Raw_Data!D66))="east",LOWER(TRIM(Raw_Data!D66))="e."),"East",IF(OR(LOWER(TRIM(Raw_Data!D66))="west",LOWER(TRIM(Raw_Data!D66))="w."),"West",IF(OR(LOWER(TRIM(Raw_Data!D66))="central",LOWER(TRIM(Raw_Data!D66))="c."),"Central","Unknown")))))</f>
        <v>Unknown</v>
      </c>
      <c r="E66" s="12" t="s">
        <v>48</v>
      </c>
      <c r="F66" s="12" t="s">
        <v>49</v>
      </c>
      <c r="G66" s="12" t="s">
        <v>50</v>
      </c>
      <c r="H66" s="12">
        <f>IFERROR(VALUE(Raw_Data!H66),0)</f>
        <v>9</v>
      </c>
      <c r="I66" s="49">
        <f>IFERROR(VALUE(Raw_Data!I66),0)</f>
        <v>12000</v>
      </c>
      <c r="J66" s="12">
        <f>IFERROR(VALUE(Raw_Data!J66),0)</f>
        <v>0.25</v>
      </c>
      <c r="K66" s="12" t="s">
        <v>74</v>
      </c>
      <c r="L66" s="12" t="str">
        <f>IF(COUNTIF($A$2:A66, A66)&gt;1, "Duplicate", "Valid")</f>
        <v>Valid</v>
      </c>
      <c r="M66" s="50">
        <f t="shared" ref="M66:M129" si="2">H66*I66*(1-J66)</f>
        <v>81000</v>
      </c>
      <c r="N66" t="str">
        <f>IF(COUNTIF($A$2:A66, A66)&gt;1, "Duplicate", IF(OR(B66="NA", ISERROR(B66), ISTEXT(B66)), "Invalid Date", IF(OR(C66=0, E66=0, H66=0, I66=0, J66=0), "Missing Data", "OK")))</f>
        <v>OK</v>
      </c>
      <c r="O66" t="str">
        <f>IFERROR(INDEX(Reps!$B:$B, MATCH(K66, Reps!$A:$A, 0)), "Not Found")</f>
        <v>Rahul Verma</v>
      </c>
      <c r="P66" t="str">
        <f t="shared" ref="P66:P129" si="3">IFERROR(TEXT(B66, "mmmm"),"")</f>
        <v>December</v>
      </c>
    </row>
    <row r="67" spans="1:16" x14ac:dyDescent="0.25">
      <c r="A67" t="s">
        <v>228</v>
      </c>
      <c r="B67" s="10">
        <f>IFERROR(IFERROR(INT(VALUE(Raw_Data!B67)), DATE(RIGHT(TRIM(Raw_Data!B67),4), MID(TRIM(Raw_Data!B67),4,2), LEFT(TRIM(Raw_Data!B67),2))), "NA")</f>
        <v>46111</v>
      </c>
      <c r="C67" s="12" t="s">
        <v>230</v>
      </c>
      <c r="D67" s="12" t="str">
        <f>IF(OR(LOWER(TRIM(Raw_Data!D67))="north",LOWER(TRIM(Raw_Data!D67))="n.",LOWER(SUBSTITUTE(TRIM(Raw_Data!D67)," ",""))="north"),"North",IF(OR(LOWER(TRIM(Raw_Data!D67))="south",LOWER(TRIM(Raw_Data!D67))="s."),"South",IF(OR(LOWER(TRIM(Raw_Data!D67))="east",LOWER(TRIM(Raw_Data!D67))="e."),"East",IF(OR(LOWER(TRIM(Raw_Data!D67))="west",LOWER(TRIM(Raw_Data!D67))="w."),"West",IF(OR(LOWER(TRIM(Raw_Data!D67))="central",LOWER(TRIM(Raw_Data!D67))="c."),"Central","Unknown")))))</f>
        <v>East</v>
      </c>
      <c r="E67" s="12" t="s">
        <v>40</v>
      </c>
      <c r="F67" s="12" t="s">
        <v>41</v>
      </c>
      <c r="G67" s="12" t="s">
        <v>42</v>
      </c>
      <c r="H67" s="12">
        <f>IFERROR(VALUE(Raw_Data!H67),0)</f>
        <v>4</v>
      </c>
      <c r="I67" s="49">
        <f>IFERROR(VALUE(Raw_Data!I67),0)</f>
        <v>450</v>
      </c>
      <c r="J67" s="12">
        <f>IFERROR(VALUE(Raw_Data!J67),0)</f>
        <v>0.05</v>
      </c>
      <c r="K67" s="12" t="s">
        <v>102</v>
      </c>
      <c r="L67" s="12" t="str">
        <f>IF(COUNTIF($A$2:A67, A67)&gt;1, "Duplicate", "Valid")</f>
        <v>Valid</v>
      </c>
      <c r="M67" s="50">
        <f t="shared" si="2"/>
        <v>1710</v>
      </c>
      <c r="N67" t="str">
        <f>IF(COUNTIF($A$2:A67, A67)&gt;1, "Duplicate", IF(OR(B67="NA", ISERROR(B67), ISTEXT(B67)), "Invalid Date", IF(OR(C67=0, E67=0, H67=0, I67=0, J67=0), "Missing Data", "OK")))</f>
        <v>OK</v>
      </c>
      <c r="O67" t="str">
        <f>IFERROR(INDEX(Reps!$B:$B, MATCH(K67, Reps!$A:$A, 0)), "Not Found")</f>
        <v>Anita Sharma</v>
      </c>
      <c r="P67" t="str">
        <f t="shared" si="3"/>
        <v>March</v>
      </c>
    </row>
    <row r="68" spans="1:16" x14ac:dyDescent="0.25">
      <c r="A68" t="s">
        <v>231</v>
      </c>
      <c r="B68" s="10">
        <f>IFERROR(IFERROR(INT(VALUE(Raw_Data!B68)), DATE(RIGHT(TRIM(Raw_Data!B68),4), MID(TRIM(Raw_Data!B68),4,2), LEFT(TRIM(Raw_Data!B68),2))), "NA")</f>
        <v>46058</v>
      </c>
      <c r="C68" s="12" t="s">
        <v>131</v>
      </c>
      <c r="D68" s="12" t="str">
        <f>IF(OR(LOWER(TRIM(Raw_Data!D68))="north",LOWER(TRIM(Raw_Data!D68))="n.",LOWER(SUBSTITUTE(TRIM(Raw_Data!D68)," ",""))="north"),"North",IF(OR(LOWER(TRIM(Raw_Data!D68))="south",LOWER(TRIM(Raw_Data!D68))="s."),"South",IF(OR(LOWER(TRIM(Raw_Data!D68))="east",LOWER(TRIM(Raw_Data!D68))="e."),"East",IF(OR(LOWER(TRIM(Raw_Data!D68))="west",LOWER(TRIM(Raw_Data!D68))="w."),"West",IF(OR(LOWER(TRIM(Raw_Data!D68))="central",LOWER(TRIM(Raw_Data!D68))="c."),"Central","Unknown")))))</f>
        <v>East</v>
      </c>
      <c r="E68" s="12" t="s">
        <v>89</v>
      </c>
      <c r="F68" s="12" t="s">
        <v>90</v>
      </c>
      <c r="G68" s="12" t="s">
        <v>91</v>
      </c>
      <c r="H68" s="12">
        <f>IFERROR(VALUE(Raw_Data!H68),0)</f>
        <v>6</v>
      </c>
      <c r="I68" s="49">
        <f>IFERROR(VALUE(Raw_Data!I68),0)</f>
        <v>2200</v>
      </c>
      <c r="J68" s="12">
        <f>IFERROR(VALUE(Raw_Data!J68),0)</f>
        <v>0</v>
      </c>
      <c r="K68" s="12" t="s">
        <v>74</v>
      </c>
      <c r="L68" s="12" t="str">
        <f>IF(COUNTIF($A$2:A68, A68)&gt;1, "Duplicate", "Valid")</f>
        <v>Valid</v>
      </c>
      <c r="M68" s="50">
        <f t="shared" si="2"/>
        <v>13200</v>
      </c>
      <c r="N68" t="str">
        <f>IF(COUNTIF($A$2:A68, A68)&gt;1, "Duplicate", IF(OR(B68="NA", ISERROR(B68), ISTEXT(B68)), "Invalid Date", IF(OR(C68=0, E68=0, H68=0, I68=0, J68=0), "Missing Data", "OK")))</f>
        <v>Missing Data</v>
      </c>
      <c r="O68" t="str">
        <f>IFERROR(INDEX(Reps!$B:$B, MATCH(K68, Reps!$A:$A, 0)), "Not Found")</f>
        <v>Rahul Verma</v>
      </c>
      <c r="P68" t="str">
        <f t="shared" si="3"/>
        <v>February</v>
      </c>
    </row>
    <row r="69" spans="1:16" x14ac:dyDescent="0.25">
      <c r="A69" t="s">
        <v>233</v>
      </c>
      <c r="B69" s="10">
        <f>IFERROR(IFERROR(INT(VALUE(Raw_Data!B69)), DATE(RIGHT(TRIM(Raw_Data!B69),4), MID(TRIM(Raw_Data!B69),4,2), LEFT(TRIM(Raw_Data!B69),2))), "NA")</f>
        <v>45966</v>
      </c>
      <c r="C69" s="12" t="s">
        <v>235</v>
      </c>
      <c r="D69" s="12" t="str">
        <f>IF(OR(LOWER(TRIM(Raw_Data!D69))="north",LOWER(TRIM(Raw_Data!D69))="n.",LOWER(SUBSTITUTE(TRIM(Raw_Data!D69)," ",""))="north"),"North",IF(OR(LOWER(TRIM(Raw_Data!D69))="south",LOWER(TRIM(Raw_Data!D69))="s."),"South",IF(OR(LOWER(TRIM(Raw_Data!D69))="east",LOWER(TRIM(Raw_Data!D69))="e."),"East",IF(OR(LOWER(TRIM(Raw_Data!D69))="west",LOWER(TRIM(Raw_Data!D69))="w."),"West",IF(OR(LOWER(TRIM(Raw_Data!D69))="central",LOWER(TRIM(Raw_Data!D69))="c."),"Central","Unknown")))))</f>
        <v>South</v>
      </c>
      <c r="E69" s="12" t="s">
        <v>111</v>
      </c>
      <c r="F69" s="12" t="s">
        <v>112</v>
      </c>
      <c r="G69" s="12" t="s">
        <v>57</v>
      </c>
      <c r="H69" s="12">
        <f>IFERROR(VALUE(Raw_Data!H69),0)</f>
        <v>12</v>
      </c>
      <c r="I69" s="49">
        <f>IFERROR(VALUE(Raw_Data!I69),0)</f>
        <v>18000</v>
      </c>
      <c r="J69" s="12">
        <f>IFERROR(VALUE(Raw_Data!J69),0)</f>
        <v>0.25</v>
      </c>
      <c r="K69" s="12" t="s">
        <v>79</v>
      </c>
      <c r="L69" s="12" t="str">
        <f>IF(COUNTIF($A$2:A69, A69)&gt;1, "Duplicate", "Valid")</f>
        <v>Valid</v>
      </c>
      <c r="M69" s="50">
        <f t="shared" si="2"/>
        <v>162000</v>
      </c>
      <c r="N69" t="str">
        <f>IF(COUNTIF($A$2:A69, A69)&gt;1, "Duplicate", IF(OR(B69="NA", ISERROR(B69), ISTEXT(B69)), "Invalid Date", IF(OR(C69=0, E69=0, H69=0, I69=0, J69=0), "Missing Data", "OK")))</f>
        <v>OK</v>
      </c>
      <c r="O69" t="str">
        <f>IFERROR(INDEX(Reps!$B:$B, MATCH(K69, Reps!$A:$A, 0)), "Not Found")</f>
        <v>Sneha Reddy</v>
      </c>
      <c r="P69" t="str">
        <f t="shared" si="3"/>
        <v>November</v>
      </c>
    </row>
    <row r="70" spans="1:16" x14ac:dyDescent="0.25">
      <c r="A70" t="s">
        <v>236</v>
      </c>
      <c r="B70" s="10">
        <f>IFERROR(IFERROR(INT(VALUE(Raw_Data!B70)), DATE(RIGHT(TRIM(Raw_Data!B70),4), MID(TRIM(Raw_Data!B70),4,2), LEFT(TRIM(Raw_Data!B70),2))), "NA")</f>
        <v>46137</v>
      </c>
      <c r="C70" s="12" t="s">
        <v>217</v>
      </c>
      <c r="D70" s="12" t="str">
        <f>IF(OR(LOWER(TRIM(Raw_Data!D70))="north",LOWER(TRIM(Raw_Data!D70))="n.",LOWER(SUBSTITUTE(TRIM(Raw_Data!D70)," ",""))="north"),"North",IF(OR(LOWER(TRIM(Raw_Data!D70))="south",LOWER(TRIM(Raw_Data!D70))="s."),"South",IF(OR(LOWER(TRIM(Raw_Data!D70))="east",LOWER(TRIM(Raw_Data!D70))="e."),"East",IF(OR(LOWER(TRIM(Raw_Data!D70))="west",LOWER(TRIM(Raw_Data!D70))="w."),"West",IF(OR(LOWER(TRIM(Raw_Data!D70))="central",LOWER(TRIM(Raw_Data!D70))="c."),"Central","Unknown")))))</f>
        <v>South</v>
      </c>
      <c r="E70" s="12" t="s">
        <v>55</v>
      </c>
      <c r="F70" s="12" t="s">
        <v>56</v>
      </c>
      <c r="G70" s="12" t="s">
        <v>57</v>
      </c>
      <c r="H70" s="12">
        <f>IFERROR(VALUE(Raw_Data!H70),0)</f>
        <v>6</v>
      </c>
      <c r="I70" s="49">
        <f>IFERROR(VALUE(Raw_Data!I70),0)</f>
        <v>65000</v>
      </c>
      <c r="J70" s="12">
        <f>IFERROR(VALUE(Raw_Data!J70),0)</f>
        <v>0.25</v>
      </c>
      <c r="K70" s="12" t="s">
        <v>70</v>
      </c>
      <c r="L70" s="12" t="str">
        <f>IF(COUNTIF($A$2:A70, A70)&gt;1, "Duplicate", "Valid")</f>
        <v>Valid</v>
      </c>
      <c r="M70" s="50">
        <f t="shared" si="2"/>
        <v>292500</v>
      </c>
      <c r="N70" t="str">
        <f>IF(COUNTIF($A$2:A70, A70)&gt;1, "Duplicate", IF(OR(B70="NA", ISERROR(B70), ISTEXT(B70)), "Invalid Date", IF(OR(C70=0, E70=0, H70=0, I70=0, J70=0), "Missing Data", "OK")))</f>
        <v>OK</v>
      </c>
      <c r="O70" t="str">
        <f>IFERROR(INDEX(Reps!$B:$B, MATCH(K70, Reps!$A:$A, 0)), "Not Found")</f>
        <v>Vikram Nair</v>
      </c>
      <c r="P70" t="str">
        <f t="shared" si="3"/>
        <v>April</v>
      </c>
    </row>
    <row r="71" spans="1:16" x14ac:dyDescent="0.25">
      <c r="A71" t="s">
        <v>237</v>
      </c>
      <c r="B71" s="10">
        <f>IFERROR(IFERROR(INT(VALUE(Raw_Data!B71)), DATE(RIGHT(TRIM(Raw_Data!B71),4), MID(TRIM(Raw_Data!B71),4,2), LEFT(TRIM(Raw_Data!B71),2))), "NA")</f>
        <v>46119</v>
      </c>
      <c r="C71" s="12" t="s">
        <v>68</v>
      </c>
      <c r="D71" s="12" t="str">
        <f>IF(OR(LOWER(TRIM(Raw_Data!D71))="north",LOWER(TRIM(Raw_Data!D71))="n.",LOWER(SUBSTITUTE(TRIM(Raw_Data!D71)," ",""))="north"),"North",IF(OR(LOWER(TRIM(Raw_Data!D71))="south",LOWER(TRIM(Raw_Data!D71))="s."),"South",IF(OR(LOWER(TRIM(Raw_Data!D71))="east",LOWER(TRIM(Raw_Data!D71))="e."),"East",IF(OR(LOWER(TRIM(Raw_Data!D71))="west",LOWER(TRIM(Raw_Data!D71))="w."),"West",IF(OR(LOWER(TRIM(Raw_Data!D71))="central",LOWER(TRIM(Raw_Data!D71))="c."),"Central","Unknown")))))</f>
        <v>Central</v>
      </c>
      <c r="E71" s="12" t="s">
        <v>135</v>
      </c>
      <c r="F71" s="12" t="s">
        <v>136</v>
      </c>
      <c r="G71" s="12" t="s">
        <v>50</v>
      </c>
      <c r="H71" s="12">
        <f>IFERROR(VALUE(Raw_Data!H71),0)</f>
        <v>12</v>
      </c>
      <c r="I71" s="49">
        <f>IFERROR(VALUE(Raw_Data!I71),0)</f>
        <v>9500</v>
      </c>
      <c r="J71" s="12">
        <f>IFERROR(VALUE(Raw_Data!J71),0)</f>
        <v>0.1</v>
      </c>
      <c r="K71" s="12" t="s">
        <v>51</v>
      </c>
      <c r="L71" s="12" t="str">
        <f>IF(COUNTIF($A$2:A71, A71)&gt;1, "Duplicate", "Valid")</f>
        <v>Valid</v>
      </c>
      <c r="M71" s="50">
        <f t="shared" si="2"/>
        <v>102600</v>
      </c>
      <c r="N71" t="str">
        <f>IF(COUNTIF($A$2:A71, A71)&gt;1, "Duplicate", IF(OR(B71="NA", ISERROR(B71), ISTEXT(B71)), "Invalid Date", IF(OR(C71=0, E71=0, H71=0, I71=0, J71=0), "Missing Data", "OK")))</f>
        <v>OK</v>
      </c>
      <c r="O71" t="str">
        <f>IFERROR(INDEX(Reps!$B:$B, MATCH(K71, Reps!$A:$A, 0)), "Not Found")</f>
        <v>Priya Iyer</v>
      </c>
      <c r="P71" t="str">
        <f t="shared" si="3"/>
        <v>April</v>
      </c>
    </row>
    <row r="72" spans="1:16" x14ac:dyDescent="0.25">
      <c r="A72" t="s">
        <v>239</v>
      </c>
      <c r="B72" s="10">
        <f>IFERROR(IFERROR(INT(VALUE(Raw_Data!B72)), DATE(RIGHT(TRIM(Raw_Data!B72),4), MID(TRIM(Raw_Data!B72),4,2), LEFT(TRIM(Raw_Data!B72),2))), "NA")</f>
        <v>46123</v>
      </c>
      <c r="C72" s="12" t="s">
        <v>241</v>
      </c>
      <c r="D72" s="12" t="str">
        <f>IF(OR(LOWER(TRIM(Raw_Data!D72))="north",LOWER(TRIM(Raw_Data!D72))="n.",LOWER(SUBSTITUTE(TRIM(Raw_Data!D72)," ",""))="north"),"North",IF(OR(LOWER(TRIM(Raw_Data!D72))="south",LOWER(TRIM(Raw_Data!D72))="s."),"South",IF(OR(LOWER(TRIM(Raw_Data!D72))="east",LOWER(TRIM(Raw_Data!D72))="e."),"East",IF(OR(LOWER(TRIM(Raw_Data!D72))="west",LOWER(TRIM(Raw_Data!D72))="w."),"West",IF(OR(LOWER(TRIM(Raw_Data!D72))="central",LOWER(TRIM(Raw_Data!D72))="c."),"Central","Unknown")))))</f>
        <v>South</v>
      </c>
      <c r="E72" s="12" t="s">
        <v>135</v>
      </c>
      <c r="F72" s="12" t="s">
        <v>136</v>
      </c>
      <c r="G72" s="12" t="s">
        <v>50</v>
      </c>
      <c r="H72" s="12">
        <f>IFERROR(VALUE(Raw_Data!H72),0)</f>
        <v>6</v>
      </c>
      <c r="I72" s="49">
        <f>IFERROR(VALUE(Raw_Data!I72),0)</f>
        <v>9500</v>
      </c>
      <c r="J72" s="12">
        <f>IFERROR(VALUE(Raw_Data!J72),0)</f>
        <v>0.1</v>
      </c>
      <c r="K72" s="12" t="s">
        <v>43</v>
      </c>
      <c r="L72" s="12" t="str">
        <f>IF(COUNTIF($A$2:A72, A72)&gt;1, "Duplicate", "Valid")</f>
        <v>Valid</v>
      </c>
      <c r="M72" s="50">
        <f t="shared" si="2"/>
        <v>51300</v>
      </c>
      <c r="N72" t="str">
        <f>IF(COUNTIF($A$2:A72, A72)&gt;1, "Duplicate", IF(OR(B72="NA", ISERROR(B72), ISTEXT(B72)), "Invalid Date", IF(OR(C72=0, E72=0, H72=0, I72=0, J72=0), "Missing Data", "OK")))</f>
        <v>OK</v>
      </c>
      <c r="O72" t="str">
        <f>IFERROR(INDEX(Reps!$B:$B, MATCH(K72, Reps!$A:$A, 0)), "Not Found")</f>
        <v>Karan Mehta</v>
      </c>
      <c r="P72" t="str">
        <f t="shared" si="3"/>
        <v>April</v>
      </c>
    </row>
    <row r="73" spans="1:16" x14ac:dyDescent="0.25">
      <c r="A73" t="s">
        <v>242</v>
      </c>
      <c r="B73" s="10">
        <f>IFERROR(IFERROR(INT(VALUE(Raw_Data!B73)), DATE(RIGHT(TRIM(Raw_Data!B73),4), MID(TRIM(Raw_Data!B73),4,2), LEFT(TRIM(Raw_Data!B73),2))), "NA")</f>
        <v>46004</v>
      </c>
      <c r="C73" s="12" t="s">
        <v>93</v>
      </c>
      <c r="D73" s="12" t="str">
        <f>IF(OR(LOWER(TRIM(Raw_Data!D73))="north",LOWER(TRIM(Raw_Data!D73))="n.",LOWER(SUBSTITUTE(TRIM(Raw_Data!D73)," ",""))="north"),"North",IF(OR(LOWER(TRIM(Raw_Data!D73))="south",LOWER(TRIM(Raw_Data!D73))="s."),"South",IF(OR(LOWER(TRIM(Raw_Data!D73))="east",LOWER(TRIM(Raw_Data!D73))="e."),"East",IF(OR(LOWER(TRIM(Raw_Data!D73))="west",LOWER(TRIM(Raw_Data!D73))="w."),"West",IF(OR(LOWER(TRIM(Raw_Data!D73))="central",LOWER(TRIM(Raw_Data!D73))="c."),"Central","Unknown")))))</f>
        <v>Central</v>
      </c>
      <c r="E73" s="12" t="s">
        <v>120</v>
      </c>
      <c r="F73" s="12" t="s">
        <v>121</v>
      </c>
      <c r="G73" s="12" t="s">
        <v>42</v>
      </c>
      <c r="H73" s="12">
        <f>IFERROR(VALUE(Raw_Data!H73),0)</f>
        <v>8</v>
      </c>
      <c r="I73" s="49">
        <f>IFERROR(VALUE(Raw_Data!I73),0)</f>
        <v>250</v>
      </c>
      <c r="J73" s="12">
        <f>IFERROR(VALUE(Raw_Data!J73),0)</f>
        <v>0.15</v>
      </c>
      <c r="K73" s="12" t="s">
        <v>79</v>
      </c>
      <c r="L73" s="12" t="str">
        <f>IF(COUNTIF($A$2:A73, A73)&gt;1, "Duplicate", "Valid")</f>
        <v>Valid</v>
      </c>
      <c r="M73" s="50">
        <f t="shared" si="2"/>
        <v>1700</v>
      </c>
      <c r="N73" t="str">
        <f>IF(COUNTIF($A$2:A73, A73)&gt;1, "Duplicate", IF(OR(B73="NA", ISERROR(B73), ISTEXT(B73)), "Invalid Date", IF(OR(C73=0, E73=0, H73=0, I73=0, J73=0), "Missing Data", "OK")))</f>
        <v>OK</v>
      </c>
      <c r="O73" t="str">
        <f>IFERROR(INDEX(Reps!$B:$B, MATCH(K73, Reps!$A:$A, 0)), "Not Found")</f>
        <v>Sneha Reddy</v>
      </c>
      <c r="P73" t="str">
        <f t="shared" si="3"/>
        <v>December</v>
      </c>
    </row>
    <row r="74" spans="1:16" x14ac:dyDescent="0.25">
      <c r="A74" t="s">
        <v>243</v>
      </c>
      <c r="B74" s="10">
        <f>IFERROR(IFERROR(INT(VALUE(Raw_Data!B74)), DATE(RIGHT(TRIM(Raw_Data!B74),4), MID(TRIM(Raw_Data!B74),4,2), LEFT(TRIM(Raw_Data!B74),2))), "NA")</f>
        <v>46011</v>
      </c>
      <c r="C74" s="12" t="s">
        <v>76</v>
      </c>
      <c r="D74" s="12" t="str">
        <f>IF(OR(LOWER(TRIM(Raw_Data!D74))="north",LOWER(TRIM(Raw_Data!D74))="n.",LOWER(SUBSTITUTE(TRIM(Raw_Data!D74)," ",""))="north"),"North",IF(OR(LOWER(TRIM(Raw_Data!D74))="south",LOWER(TRIM(Raw_Data!D74))="s."),"South",IF(OR(LOWER(TRIM(Raw_Data!D74))="east",LOWER(TRIM(Raw_Data!D74))="e."),"East",IF(OR(LOWER(TRIM(Raw_Data!D74))="west",LOWER(TRIM(Raw_Data!D74))="w."),"West",IF(OR(LOWER(TRIM(Raw_Data!D74))="central",LOWER(TRIM(Raw_Data!D74))="c."),"Central","Unknown")))))</f>
        <v>Central</v>
      </c>
      <c r="E74" s="12" t="s">
        <v>48</v>
      </c>
      <c r="F74" s="12" t="s">
        <v>49</v>
      </c>
      <c r="G74" s="12" t="s">
        <v>50</v>
      </c>
      <c r="H74" s="12">
        <f>IFERROR(VALUE(Raw_Data!H74),0)</f>
        <v>4</v>
      </c>
      <c r="I74" s="49">
        <f>IFERROR(VALUE(Raw_Data!I74),0)</f>
        <v>12000</v>
      </c>
      <c r="J74" s="12">
        <f>IFERROR(VALUE(Raw_Data!J74),0)</f>
        <v>0.25</v>
      </c>
      <c r="K74" s="12" t="s">
        <v>79</v>
      </c>
      <c r="L74" s="12" t="str">
        <f>IF(COUNTIF($A$2:A74, A74)&gt;1, "Duplicate", "Valid")</f>
        <v>Valid</v>
      </c>
      <c r="M74" s="50">
        <f t="shared" si="2"/>
        <v>36000</v>
      </c>
      <c r="N74" t="str">
        <f>IF(COUNTIF($A$2:A74, A74)&gt;1, "Duplicate", IF(OR(B74="NA", ISERROR(B74), ISTEXT(B74)), "Invalid Date", IF(OR(C74=0, E74=0, H74=0, I74=0, J74=0), "Missing Data", "OK")))</f>
        <v>OK</v>
      </c>
      <c r="O74" t="str">
        <f>IFERROR(INDEX(Reps!$B:$B, MATCH(K74, Reps!$A:$A, 0)), "Not Found")</f>
        <v>Sneha Reddy</v>
      </c>
      <c r="P74" t="str">
        <f t="shared" si="3"/>
        <v>December</v>
      </c>
    </row>
    <row r="75" spans="1:16" x14ac:dyDescent="0.25">
      <c r="A75" t="s">
        <v>244</v>
      </c>
      <c r="B75" s="10">
        <f>IFERROR(IFERROR(INT(VALUE(Raw_Data!B75)), DATE(RIGHT(TRIM(Raw_Data!B75),4), MID(TRIM(Raw_Data!B75),4,2), LEFT(TRIM(Raw_Data!B75),2))), "NA")</f>
        <v>46048</v>
      </c>
      <c r="C75" s="12" t="s">
        <v>230</v>
      </c>
      <c r="D75" s="12" t="str">
        <f>IF(OR(LOWER(TRIM(Raw_Data!D75))="north",LOWER(TRIM(Raw_Data!D75))="n.",LOWER(SUBSTITUTE(TRIM(Raw_Data!D75)," ",""))="north"),"North",IF(OR(LOWER(TRIM(Raw_Data!D75))="south",LOWER(TRIM(Raw_Data!D75))="s."),"South",IF(OR(LOWER(TRIM(Raw_Data!D75))="east",LOWER(TRIM(Raw_Data!D75))="e."),"East",IF(OR(LOWER(TRIM(Raw_Data!D75))="west",LOWER(TRIM(Raw_Data!D75))="w."),"West",IF(OR(LOWER(TRIM(Raw_Data!D75))="central",LOWER(TRIM(Raw_Data!D75))="c."),"Central","Unknown")))))</f>
        <v>Central</v>
      </c>
      <c r="E75" s="12" t="s">
        <v>98</v>
      </c>
      <c r="F75" s="12" t="s">
        <v>99</v>
      </c>
      <c r="G75" s="12" t="s">
        <v>50</v>
      </c>
      <c r="H75" s="12">
        <f>IFERROR(VALUE(Raw_Data!H75),0)</f>
        <v>10</v>
      </c>
      <c r="I75" s="49">
        <f>IFERROR(VALUE(Raw_Data!I75),0)</f>
        <v>28000</v>
      </c>
      <c r="J75" s="12">
        <f>IFERROR(VALUE(Raw_Data!J75),0)</f>
        <v>0.1</v>
      </c>
      <c r="K75" s="12" t="s">
        <v>102</v>
      </c>
      <c r="L75" s="12" t="str">
        <f>IF(COUNTIF($A$2:A75, A75)&gt;1, "Duplicate", "Valid")</f>
        <v>Valid</v>
      </c>
      <c r="M75" s="50">
        <f t="shared" si="2"/>
        <v>252000</v>
      </c>
      <c r="N75" t="str">
        <f>IF(COUNTIF($A$2:A75, A75)&gt;1, "Duplicate", IF(OR(B75="NA", ISERROR(B75), ISTEXT(B75)), "Invalid Date", IF(OR(C75=0, E75=0, H75=0, I75=0, J75=0), "Missing Data", "OK")))</f>
        <v>OK</v>
      </c>
      <c r="O75" t="str">
        <f>IFERROR(INDEX(Reps!$B:$B, MATCH(K75, Reps!$A:$A, 0)), "Not Found")</f>
        <v>Anita Sharma</v>
      </c>
      <c r="P75" t="str">
        <f t="shared" si="3"/>
        <v>January</v>
      </c>
    </row>
    <row r="76" spans="1:16" x14ac:dyDescent="0.25">
      <c r="A76" t="s">
        <v>246</v>
      </c>
      <c r="B76" s="10">
        <f>IFERROR(IFERROR(INT(VALUE(Raw_Data!B76)), DATE(RIGHT(TRIM(Raw_Data!B76),4), MID(TRIM(Raw_Data!B76),4,2), LEFT(TRIM(Raw_Data!B76),2))), "NA")</f>
        <v>46007</v>
      </c>
      <c r="C76" s="12" t="s">
        <v>214</v>
      </c>
      <c r="D76" s="12" t="str">
        <f>IF(OR(LOWER(TRIM(Raw_Data!D76))="north",LOWER(TRIM(Raw_Data!D76))="n.",LOWER(SUBSTITUTE(TRIM(Raw_Data!D76)," ",""))="north"),"North",IF(OR(LOWER(TRIM(Raw_Data!D76))="south",LOWER(TRIM(Raw_Data!D76))="s."),"South",IF(OR(LOWER(TRIM(Raw_Data!D76))="east",LOWER(TRIM(Raw_Data!D76))="e."),"East",IF(OR(LOWER(TRIM(Raw_Data!D76))="west",LOWER(TRIM(Raw_Data!D76))="w."),"West",IF(OR(LOWER(TRIM(Raw_Data!D76))="central",LOWER(TRIM(Raw_Data!D76))="c."),"Central","Unknown")))))</f>
        <v>West</v>
      </c>
      <c r="E76" s="12" t="s">
        <v>48</v>
      </c>
      <c r="F76" s="12" t="s">
        <v>49</v>
      </c>
      <c r="G76" s="12" t="s">
        <v>50</v>
      </c>
      <c r="H76" s="12">
        <f>IFERROR(VALUE(Raw_Data!H76),0)</f>
        <v>12</v>
      </c>
      <c r="I76" s="49">
        <f>IFERROR(VALUE(Raw_Data!I76),0)</f>
        <v>12000</v>
      </c>
      <c r="J76" s="12">
        <f>IFERROR(VALUE(Raw_Data!J76),0)</f>
        <v>0.05</v>
      </c>
      <c r="K76" s="12" t="s">
        <v>51</v>
      </c>
      <c r="L76" s="12" t="str">
        <f>IF(COUNTIF($A$2:A76, A76)&gt;1, "Duplicate", "Valid")</f>
        <v>Valid</v>
      </c>
      <c r="M76" s="50">
        <f t="shared" si="2"/>
        <v>136800</v>
      </c>
      <c r="N76" t="str">
        <f>IF(COUNTIF($A$2:A76, A76)&gt;1, "Duplicate", IF(OR(B76="NA", ISERROR(B76), ISTEXT(B76)), "Invalid Date", IF(OR(C76=0, E76=0, H76=0, I76=0, J76=0), "Missing Data", "OK")))</f>
        <v>OK</v>
      </c>
      <c r="O76" t="str">
        <f>IFERROR(INDEX(Reps!$B:$B, MATCH(K76, Reps!$A:$A, 0)), "Not Found")</f>
        <v>Priya Iyer</v>
      </c>
      <c r="P76" t="str">
        <f t="shared" si="3"/>
        <v>December</v>
      </c>
    </row>
    <row r="77" spans="1:16" x14ac:dyDescent="0.25">
      <c r="A77" t="s">
        <v>248</v>
      </c>
      <c r="B77" s="10">
        <f>IFERROR(IFERROR(INT(VALUE(Raw_Data!B77)), DATE(RIGHT(TRIM(Raw_Data!B77),4), MID(TRIM(Raw_Data!B77),4,2), LEFT(TRIM(Raw_Data!B77),2))), "NA")</f>
        <v>46044</v>
      </c>
      <c r="C77" s="12" t="s">
        <v>217</v>
      </c>
      <c r="D77" s="12" t="str">
        <f>IF(OR(LOWER(TRIM(Raw_Data!D77))="north",LOWER(TRIM(Raw_Data!D77))="n.",LOWER(SUBSTITUTE(TRIM(Raw_Data!D77)," ",""))="north"),"North",IF(OR(LOWER(TRIM(Raw_Data!D77))="south",LOWER(TRIM(Raw_Data!D77))="s."),"South",IF(OR(LOWER(TRIM(Raw_Data!D77))="east",LOWER(TRIM(Raw_Data!D77))="e."),"East",IF(OR(LOWER(TRIM(Raw_Data!D77))="west",LOWER(TRIM(Raw_Data!D77))="w."),"West",IF(OR(LOWER(TRIM(Raw_Data!D77))="central",LOWER(TRIM(Raw_Data!D77))="c."),"Central","Unknown")))))</f>
        <v>North</v>
      </c>
      <c r="E77" s="12" t="s">
        <v>89</v>
      </c>
      <c r="F77" s="12" t="s">
        <v>90</v>
      </c>
      <c r="G77" s="12" t="s">
        <v>91</v>
      </c>
      <c r="H77" s="12">
        <f>IFERROR(VALUE(Raw_Data!H77),0)</f>
        <v>4</v>
      </c>
      <c r="I77" s="49">
        <f>IFERROR(VALUE(Raw_Data!I77),0)</f>
        <v>2200</v>
      </c>
      <c r="J77" s="12">
        <f>IFERROR(VALUE(Raw_Data!J77),0)</f>
        <v>0.1</v>
      </c>
      <c r="K77" s="12" t="s">
        <v>43</v>
      </c>
      <c r="L77" s="12" t="str">
        <f>IF(COUNTIF($A$2:A77, A77)&gt;1, "Duplicate", "Valid")</f>
        <v>Valid</v>
      </c>
      <c r="M77" s="50">
        <f t="shared" si="2"/>
        <v>7920</v>
      </c>
      <c r="N77" t="str">
        <f>IF(COUNTIF($A$2:A77, A77)&gt;1, "Duplicate", IF(OR(B77="NA", ISERROR(B77), ISTEXT(B77)), "Invalid Date", IF(OR(C77=0, E77=0, H77=0, I77=0, J77=0), "Missing Data", "OK")))</f>
        <v>OK</v>
      </c>
      <c r="O77" t="str">
        <f>IFERROR(INDEX(Reps!$B:$B, MATCH(K77, Reps!$A:$A, 0)), "Not Found")</f>
        <v>Karan Mehta</v>
      </c>
      <c r="P77" t="str">
        <f t="shared" si="3"/>
        <v>January</v>
      </c>
    </row>
    <row r="78" spans="1:16" x14ac:dyDescent="0.25">
      <c r="A78" t="s">
        <v>249</v>
      </c>
      <c r="B78" s="10">
        <f>IFERROR(IFERROR(INT(VALUE(Raw_Data!B78)), DATE(RIGHT(TRIM(Raw_Data!B78),4), MID(TRIM(Raw_Data!B78),4,2), LEFT(TRIM(Raw_Data!B78),2))), "NA")</f>
        <v>46033</v>
      </c>
      <c r="C78" s="12" t="s">
        <v>53</v>
      </c>
      <c r="D78" s="12" t="str">
        <f>IF(OR(LOWER(TRIM(Raw_Data!D78))="north",LOWER(TRIM(Raw_Data!D78))="n.",LOWER(SUBSTITUTE(TRIM(Raw_Data!D78)," ",""))="north"),"North",IF(OR(LOWER(TRIM(Raw_Data!D78))="south",LOWER(TRIM(Raw_Data!D78))="s."),"South",IF(OR(LOWER(TRIM(Raw_Data!D78))="east",LOWER(TRIM(Raw_Data!D78))="e."),"East",IF(OR(LOWER(TRIM(Raw_Data!D78))="west",LOWER(TRIM(Raw_Data!D78))="w."),"West",IF(OR(LOWER(TRIM(Raw_Data!D78))="central",LOWER(TRIM(Raw_Data!D78))="c."),"Central","Unknown")))))</f>
        <v>North</v>
      </c>
      <c r="E78" s="12" t="s">
        <v>77</v>
      </c>
      <c r="F78" s="12" t="s">
        <v>78</v>
      </c>
      <c r="G78" s="12" t="s">
        <v>57</v>
      </c>
      <c r="H78" s="12">
        <f>IFERROR(VALUE(Raw_Data!H78),0)</f>
        <v>9</v>
      </c>
      <c r="I78" s="49">
        <f>IFERROR(VALUE(Raw_Data!I78),0)</f>
        <v>3500</v>
      </c>
      <c r="J78" s="12">
        <f>IFERROR(VALUE(Raw_Data!J78),0)</f>
        <v>0.05</v>
      </c>
      <c r="K78" s="12" t="s">
        <v>102</v>
      </c>
      <c r="L78" s="12" t="str">
        <f>IF(COUNTIF($A$2:A78, A78)&gt;1, "Duplicate", "Valid")</f>
        <v>Valid</v>
      </c>
      <c r="M78" s="50">
        <f t="shared" si="2"/>
        <v>29925</v>
      </c>
      <c r="N78" t="str">
        <f>IF(COUNTIF($A$2:A78, A78)&gt;1, "Duplicate", IF(OR(B78="NA", ISERROR(B78), ISTEXT(B78)), "Invalid Date", IF(OR(C78=0, E78=0, H78=0, I78=0, J78=0), "Missing Data", "OK")))</f>
        <v>OK</v>
      </c>
      <c r="O78" t="str">
        <f>IFERROR(INDEX(Reps!$B:$B, MATCH(K78, Reps!$A:$A, 0)), "Not Found")</f>
        <v>Anita Sharma</v>
      </c>
      <c r="P78" t="str">
        <f t="shared" si="3"/>
        <v>January</v>
      </c>
    </row>
    <row r="79" spans="1:16" x14ac:dyDescent="0.25">
      <c r="A79" t="s">
        <v>251</v>
      </c>
      <c r="B79" s="10">
        <f>IFERROR(IFERROR(INT(VALUE(Raw_Data!B79)), DATE(RIGHT(TRIM(Raw_Data!B79),4), MID(TRIM(Raw_Data!B79),4,2), LEFT(TRIM(Raw_Data!B79),2))), "NA")</f>
        <v>46082</v>
      </c>
      <c r="C79" s="12" t="s">
        <v>226</v>
      </c>
      <c r="D79" s="12" t="str">
        <f>IF(OR(LOWER(TRIM(Raw_Data!D79))="north",LOWER(TRIM(Raw_Data!D79))="n.",LOWER(SUBSTITUTE(TRIM(Raw_Data!D79)," ",""))="north"),"North",IF(OR(LOWER(TRIM(Raw_Data!D79))="south",LOWER(TRIM(Raw_Data!D79))="s."),"South",IF(OR(LOWER(TRIM(Raw_Data!D79))="east",LOWER(TRIM(Raw_Data!D79))="e."),"East",IF(OR(LOWER(TRIM(Raw_Data!D79))="west",LOWER(TRIM(Raw_Data!D79))="w."),"West",IF(OR(LOWER(TRIM(Raw_Data!D79))="central",LOWER(TRIM(Raw_Data!D79))="c."),"Central","Unknown")))))</f>
        <v>Unknown</v>
      </c>
      <c r="E79" s="12" t="s">
        <v>48</v>
      </c>
      <c r="F79" s="12" t="s">
        <v>49</v>
      </c>
      <c r="G79" s="12" t="s">
        <v>50</v>
      </c>
      <c r="H79" s="12">
        <f>IFERROR(VALUE(Raw_Data!H79),0)</f>
        <v>4</v>
      </c>
      <c r="I79" s="49">
        <f>IFERROR(VALUE(Raw_Data!I79),0)</f>
        <v>12000</v>
      </c>
      <c r="J79" s="12">
        <f>IFERROR(VALUE(Raw_Data!J79),0)</f>
        <v>0.1</v>
      </c>
      <c r="K79" s="12" t="s">
        <v>43</v>
      </c>
      <c r="L79" s="12" t="str">
        <f>IF(COUNTIF($A$2:A79, A79)&gt;1, "Duplicate", "Valid")</f>
        <v>Valid</v>
      </c>
      <c r="M79" s="50">
        <f t="shared" si="2"/>
        <v>43200</v>
      </c>
      <c r="N79" t="str">
        <f>IF(COUNTIF($A$2:A79, A79)&gt;1, "Duplicate", IF(OR(B79="NA", ISERROR(B79), ISTEXT(B79)), "Invalid Date", IF(OR(C79=0, E79=0, H79=0, I79=0, J79=0), "Missing Data", "OK")))</f>
        <v>OK</v>
      </c>
      <c r="O79" t="str">
        <f>IFERROR(INDEX(Reps!$B:$B, MATCH(K79, Reps!$A:$A, 0)), "Not Found")</f>
        <v>Karan Mehta</v>
      </c>
      <c r="P79" t="str">
        <f t="shared" si="3"/>
        <v>March</v>
      </c>
    </row>
    <row r="80" spans="1:16" x14ac:dyDescent="0.25">
      <c r="A80" t="s">
        <v>253</v>
      </c>
      <c r="B80" s="10">
        <f>IFERROR(IFERROR(INT(VALUE(Raw_Data!B80)), DATE(RIGHT(TRIM(Raw_Data!B80),4), MID(TRIM(Raw_Data!B80),4,2), LEFT(TRIM(Raw_Data!B80),2))), "NA")</f>
        <v>46100</v>
      </c>
      <c r="C80" s="12" t="s">
        <v>60</v>
      </c>
      <c r="D80" s="12" t="str">
        <f>IF(OR(LOWER(TRIM(Raw_Data!D80))="north",LOWER(TRIM(Raw_Data!D80))="n.",LOWER(SUBSTITUTE(TRIM(Raw_Data!D80)," ",""))="north"),"North",IF(OR(LOWER(TRIM(Raw_Data!D80))="south",LOWER(TRIM(Raw_Data!D80))="s."),"South",IF(OR(LOWER(TRIM(Raw_Data!D80))="east",LOWER(TRIM(Raw_Data!D80))="e."),"East",IF(OR(LOWER(TRIM(Raw_Data!D80))="west",LOWER(TRIM(Raw_Data!D80))="w."),"West",IF(OR(LOWER(TRIM(Raw_Data!D80))="central",LOWER(TRIM(Raw_Data!D80))="c."),"Central","Unknown")))))</f>
        <v>North</v>
      </c>
      <c r="E80" s="12" t="s">
        <v>89</v>
      </c>
      <c r="F80" s="12" t="s">
        <v>90</v>
      </c>
      <c r="G80" s="12" t="s">
        <v>91</v>
      </c>
      <c r="H80" s="12">
        <f>IFERROR(VALUE(Raw_Data!H80),0)</f>
        <v>1</v>
      </c>
      <c r="I80" s="49">
        <f>IFERROR(VALUE(Raw_Data!I80),0)</f>
        <v>2200</v>
      </c>
      <c r="J80" s="12">
        <f>IFERROR(VALUE(Raw_Data!J80),0)</f>
        <v>0.05</v>
      </c>
      <c r="K80" s="12" t="s">
        <v>102</v>
      </c>
      <c r="L80" s="12" t="str">
        <f>IF(COUNTIF($A$2:A80, A80)&gt;1, "Duplicate", "Valid")</f>
        <v>Valid</v>
      </c>
      <c r="M80" s="50">
        <f t="shared" si="2"/>
        <v>2090</v>
      </c>
      <c r="N80" t="str">
        <f>IF(COUNTIF($A$2:A80, A80)&gt;1, "Duplicate", IF(OR(B80="NA", ISERROR(B80), ISTEXT(B80)), "Invalid Date", IF(OR(C80=0, E80=0, H80=0, I80=0, J80=0), "Missing Data", "OK")))</f>
        <v>OK</v>
      </c>
      <c r="O80" t="str">
        <f>IFERROR(INDEX(Reps!$B:$B, MATCH(K80, Reps!$A:$A, 0)), "Not Found")</f>
        <v>Anita Sharma</v>
      </c>
      <c r="P80" t="str">
        <f t="shared" si="3"/>
        <v>March</v>
      </c>
    </row>
    <row r="81" spans="1:16" x14ac:dyDescent="0.25">
      <c r="A81" t="s">
        <v>255</v>
      </c>
      <c r="B81" s="10">
        <f>IFERROR(IFERROR(INT(VALUE(Raw_Data!B81)), DATE(RIGHT(TRIM(Raw_Data!B81),4), MID(TRIM(Raw_Data!B81),4,2), LEFT(TRIM(Raw_Data!B81),2))), "NA")</f>
        <v>46071</v>
      </c>
      <c r="C81" s="12" t="s">
        <v>144</v>
      </c>
      <c r="D81" s="12" t="str">
        <f>IF(OR(LOWER(TRIM(Raw_Data!D81))="north",LOWER(TRIM(Raw_Data!D81))="n.",LOWER(SUBSTITUTE(TRIM(Raw_Data!D81)," ",""))="north"),"North",IF(OR(LOWER(TRIM(Raw_Data!D81))="south",LOWER(TRIM(Raw_Data!D81))="s."),"South",IF(OR(LOWER(TRIM(Raw_Data!D81))="east",LOWER(TRIM(Raw_Data!D81))="e."),"East",IF(OR(LOWER(TRIM(Raw_Data!D81))="west",LOWER(TRIM(Raw_Data!D81))="w."),"West",IF(OR(LOWER(TRIM(Raw_Data!D81))="central",LOWER(TRIM(Raw_Data!D81))="c."),"Central","Unknown")))))</f>
        <v>East</v>
      </c>
      <c r="E81" s="12" t="s">
        <v>127</v>
      </c>
      <c r="F81" s="12" t="s">
        <v>128</v>
      </c>
      <c r="G81" s="12" t="s">
        <v>57</v>
      </c>
      <c r="H81" s="12">
        <f>IFERROR(VALUE(Raw_Data!H81),0)</f>
        <v>7</v>
      </c>
      <c r="I81" s="49">
        <f>IFERROR(VALUE(Raw_Data!I81),0)</f>
        <v>0</v>
      </c>
      <c r="J81" s="12">
        <f>IFERROR(VALUE(Raw_Data!J81),0)</f>
        <v>0.25</v>
      </c>
      <c r="K81" s="12" t="s">
        <v>43</v>
      </c>
      <c r="L81" s="12" t="str">
        <f>IF(COUNTIF($A$2:A81, A81)&gt;1, "Duplicate", "Valid")</f>
        <v>Valid</v>
      </c>
      <c r="M81" s="50">
        <f t="shared" si="2"/>
        <v>0</v>
      </c>
      <c r="N81" t="str">
        <f>IF(COUNTIF($A$2:A81, A81)&gt;1, "Duplicate", IF(OR(B81="NA", ISERROR(B81), ISTEXT(B81)), "Invalid Date", IF(OR(C81=0, E81=0, H81=0, I81=0, J81=0), "Missing Data", "OK")))</f>
        <v>Missing Data</v>
      </c>
      <c r="O81" t="str">
        <f>IFERROR(INDEX(Reps!$B:$B, MATCH(K81, Reps!$A:$A, 0)), "Not Found")</f>
        <v>Karan Mehta</v>
      </c>
      <c r="P81" t="str">
        <f t="shared" si="3"/>
        <v>February</v>
      </c>
    </row>
    <row r="82" spans="1:16" x14ac:dyDescent="0.25">
      <c r="A82" t="s">
        <v>257</v>
      </c>
      <c r="B82" s="10">
        <f>IFERROR(IFERROR(INT(VALUE(Raw_Data!B82)), DATE(RIGHT(TRIM(Raw_Data!B82),4), MID(TRIM(Raw_Data!B82),4,2), LEFT(TRIM(Raw_Data!B82),2))), "NA")</f>
        <v>46032</v>
      </c>
      <c r="C82" s="12" t="s">
        <v>46</v>
      </c>
      <c r="D82" s="12" t="str">
        <f>IF(OR(LOWER(TRIM(Raw_Data!D82))="north",LOWER(TRIM(Raw_Data!D82))="n.",LOWER(SUBSTITUTE(TRIM(Raw_Data!D82)," ",""))="north"),"North",IF(OR(LOWER(TRIM(Raw_Data!D82))="south",LOWER(TRIM(Raw_Data!D82))="s."),"South",IF(OR(LOWER(TRIM(Raw_Data!D82))="east",LOWER(TRIM(Raw_Data!D82))="e."),"East",IF(OR(LOWER(TRIM(Raw_Data!D82))="west",LOWER(TRIM(Raw_Data!D82))="w."),"West",IF(OR(LOWER(TRIM(Raw_Data!D82))="central",LOWER(TRIM(Raw_Data!D82))="c."),"Central","Unknown")))))</f>
        <v>East</v>
      </c>
      <c r="E82" s="12" t="s">
        <v>48</v>
      </c>
      <c r="F82" s="12" t="s">
        <v>49</v>
      </c>
      <c r="G82" s="12" t="s">
        <v>50</v>
      </c>
      <c r="H82" s="12">
        <f>IFERROR(VALUE(Raw_Data!H82),0)</f>
        <v>11</v>
      </c>
      <c r="I82" s="49">
        <f>IFERROR(VALUE(Raw_Data!I82),0)</f>
        <v>12000</v>
      </c>
      <c r="J82" s="12">
        <f>IFERROR(VALUE(Raw_Data!J82),0)</f>
        <v>0.2</v>
      </c>
      <c r="K82" s="12" t="s">
        <v>79</v>
      </c>
      <c r="L82" s="12" t="str">
        <f>IF(COUNTIF($A$2:A82, A82)&gt;1, "Duplicate", "Valid")</f>
        <v>Valid</v>
      </c>
      <c r="M82" s="50">
        <f t="shared" si="2"/>
        <v>105600</v>
      </c>
      <c r="N82" t="str">
        <f>IF(COUNTIF($A$2:A82, A82)&gt;1, "Duplicate", IF(OR(B82="NA", ISERROR(B82), ISTEXT(B82)), "Invalid Date", IF(OR(C82=0, E82=0, H82=0, I82=0, J82=0), "Missing Data", "OK")))</f>
        <v>OK</v>
      </c>
      <c r="O82" t="str">
        <f>IFERROR(INDEX(Reps!$B:$B, MATCH(K82, Reps!$A:$A, 0)), "Not Found")</f>
        <v>Sneha Reddy</v>
      </c>
      <c r="P82" t="str">
        <f t="shared" si="3"/>
        <v>January</v>
      </c>
    </row>
    <row r="83" spans="1:16" x14ac:dyDescent="0.25">
      <c r="A83" t="s">
        <v>259</v>
      </c>
      <c r="B83" s="10">
        <f>IFERROR(IFERROR(INT(VALUE(Raw_Data!B83)), DATE(RIGHT(TRIM(Raw_Data!B83),4), MID(TRIM(Raw_Data!B83),4,2), LEFT(TRIM(Raw_Data!B83),2))), "NA")</f>
        <v>46107</v>
      </c>
      <c r="C83" s="12" t="s">
        <v>214</v>
      </c>
      <c r="D83" s="12" t="str">
        <f>IF(OR(LOWER(TRIM(Raw_Data!D83))="north",LOWER(TRIM(Raw_Data!D83))="n.",LOWER(SUBSTITUTE(TRIM(Raw_Data!D83)," ",""))="north"),"North",IF(OR(LOWER(TRIM(Raw_Data!D83))="south",LOWER(TRIM(Raw_Data!D83))="s."),"South",IF(OR(LOWER(TRIM(Raw_Data!D83))="east",LOWER(TRIM(Raw_Data!D83))="e."),"East",IF(OR(LOWER(TRIM(Raw_Data!D83))="west",LOWER(TRIM(Raw_Data!D83))="w."),"West",IF(OR(LOWER(TRIM(Raw_Data!D83))="central",LOWER(TRIM(Raw_Data!D83))="c."),"Central","Unknown")))))</f>
        <v>Central</v>
      </c>
      <c r="E83" s="12" t="s">
        <v>55</v>
      </c>
      <c r="F83" s="12" t="s">
        <v>56</v>
      </c>
      <c r="G83" s="12" t="s">
        <v>57</v>
      </c>
      <c r="H83" s="12">
        <f>IFERROR(VALUE(Raw_Data!H83),0)</f>
        <v>5</v>
      </c>
      <c r="I83" s="49">
        <f>IFERROR(VALUE(Raw_Data!I83),0)</f>
        <v>65000</v>
      </c>
      <c r="J83" s="12">
        <f>IFERROR(VALUE(Raw_Data!J83),0)</f>
        <v>0.15</v>
      </c>
      <c r="K83" s="12" t="s">
        <v>43</v>
      </c>
      <c r="L83" s="12" t="str">
        <f>IF(COUNTIF($A$2:A83, A83)&gt;1, "Duplicate", "Valid")</f>
        <v>Valid</v>
      </c>
      <c r="M83" s="50">
        <f t="shared" si="2"/>
        <v>276250</v>
      </c>
      <c r="N83" t="str">
        <f>IF(COUNTIF($A$2:A83, A83)&gt;1, "Duplicate", IF(OR(B83="NA", ISERROR(B83), ISTEXT(B83)), "Invalid Date", IF(OR(C83=0, E83=0, H83=0, I83=0, J83=0), "Missing Data", "OK")))</f>
        <v>OK</v>
      </c>
      <c r="O83" t="str">
        <f>IFERROR(INDEX(Reps!$B:$B, MATCH(K83, Reps!$A:$A, 0)), "Not Found")</f>
        <v>Karan Mehta</v>
      </c>
      <c r="P83" t="str">
        <f t="shared" si="3"/>
        <v>March</v>
      </c>
    </row>
    <row r="84" spans="1:16" x14ac:dyDescent="0.25">
      <c r="A84" t="s">
        <v>260</v>
      </c>
      <c r="B84" s="10">
        <f>IFERROR(IFERROR(INT(VALUE(Raw_Data!B84)), DATE(RIGHT(TRIM(Raw_Data!B84),4), MID(TRIM(Raw_Data!B84),4,2), LEFT(TRIM(Raw_Data!B84),2))), "NA")</f>
        <v>46489</v>
      </c>
      <c r="C84" s="12" t="s">
        <v>262</v>
      </c>
      <c r="D84" s="12" t="str">
        <f>IF(OR(LOWER(TRIM(Raw_Data!D84))="north",LOWER(TRIM(Raw_Data!D84))="n.",LOWER(SUBSTITUTE(TRIM(Raw_Data!D84)," ",""))="north"),"North",IF(OR(LOWER(TRIM(Raw_Data!D84))="south",LOWER(TRIM(Raw_Data!D84))="s."),"South",IF(OR(LOWER(TRIM(Raw_Data!D84))="east",LOWER(TRIM(Raw_Data!D84))="e."),"East",IF(OR(LOWER(TRIM(Raw_Data!D84))="west",LOWER(TRIM(Raw_Data!D84))="w."),"West",IF(OR(LOWER(TRIM(Raw_Data!D84))="central",LOWER(TRIM(Raw_Data!D84))="c."),"Central","Unknown")))))</f>
        <v>North</v>
      </c>
      <c r="E84" s="12" t="s">
        <v>120</v>
      </c>
      <c r="F84" s="12" t="s">
        <v>121</v>
      </c>
      <c r="G84" s="12" t="s">
        <v>42</v>
      </c>
      <c r="H84" s="12">
        <f>IFERROR(VALUE(Raw_Data!H84),0)</f>
        <v>2</v>
      </c>
      <c r="I84" s="49">
        <f>IFERROR(VALUE(Raw_Data!I84),0)</f>
        <v>250</v>
      </c>
      <c r="J84" s="12">
        <f>IFERROR(VALUE(Raw_Data!J84),0)</f>
        <v>0.25</v>
      </c>
      <c r="K84" s="12" t="s">
        <v>102</v>
      </c>
      <c r="L84" s="12" t="str">
        <f>IF(COUNTIF($A$2:A84, A84)&gt;1, "Duplicate", "Valid")</f>
        <v>Valid</v>
      </c>
      <c r="M84" s="50">
        <f t="shared" si="2"/>
        <v>375</v>
      </c>
      <c r="N84" t="str">
        <f>IF(COUNTIF($A$2:A84, A84)&gt;1, "Duplicate", IF(OR(B84="NA", ISERROR(B84), ISTEXT(B84)), "Invalid Date", IF(OR(C84=0, E84=0, H84=0, I84=0, J84=0), "Missing Data", "OK")))</f>
        <v>OK</v>
      </c>
      <c r="O84" t="str">
        <f>IFERROR(INDEX(Reps!$B:$B, MATCH(K84, Reps!$A:$A, 0)), "Not Found")</f>
        <v>Anita Sharma</v>
      </c>
      <c r="P84" t="str">
        <f t="shared" si="3"/>
        <v>April</v>
      </c>
    </row>
    <row r="85" spans="1:16" x14ac:dyDescent="0.25">
      <c r="A85" t="s">
        <v>263</v>
      </c>
      <c r="B85" s="10">
        <f>IFERROR(IFERROR(INT(VALUE(Raw_Data!B85)), DATE(RIGHT(TRIM(Raw_Data!B85),4), MID(TRIM(Raw_Data!B85),4,2), LEFT(TRIM(Raw_Data!B85),2))), "NA")</f>
        <v>46130</v>
      </c>
      <c r="C85" s="12" t="s">
        <v>68</v>
      </c>
      <c r="D85" s="12" t="str">
        <f>IF(OR(LOWER(TRIM(Raw_Data!D85))="north",LOWER(TRIM(Raw_Data!D85))="n.",LOWER(SUBSTITUTE(TRIM(Raw_Data!D85)," ",""))="north"),"North",IF(OR(LOWER(TRIM(Raw_Data!D85))="south",LOWER(TRIM(Raw_Data!D85))="s."),"South",IF(OR(LOWER(TRIM(Raw_Data!D85))="east",LOWER(TRIM(Raw_Data!D85))="e."),"East",IF(OR(LOWER(TRIM(Raw_Data!D85))="west",LOWER(TRIM(Raw_Data!D85))="w."),"West",IF(OR(LOWER(TRIM(Raw_Data!D85))="central",LOWER(TRIM(Raw_Data!D85))="c."),"Central","Unknown")))))</f>
        <v>North</v>
      </c>
      <c r="E85" s="12" t="s">
        <v>55</v>
      </c>
      <c r="F85" s="12" t="s">
        <v>56</v>
      </c>
      <c r="G85" s="12" t="s">
        <v>57</v>
      </c>
      <c r="H85" s="12">
        <f>IFERROR(VALUE(Raw_Data!H85),0)</f>
        <v>8</v>
      </c>
      <c r="I85" s="49">
        <f>IFERROR(VALUE(Raw_Data!I85),0)</f>
        <v>65000</v>
      </c>
      <c r="J85" s="12">
        <f>IFERROR(VALUE(Raw_Data!J85),0)</f>
        <v>0</v>
      </c>
      <c r="K85" s="12" t="s">
        <v>70</v>
      </c>
      <c r="L85" s="12" t="str">
        <f>IF(COUNTIF($A$2:A85, A85)&gt;1, "Duplicate", "Valid")</f>
        <v>Valid</v>
      </c>
      <c r="M85" s="50">
        <f t="shared" si="2"/>
        <v>520000</v>
      </c>
      <c r="N85" t="str">
        <f>IF(COUNTIF($A$2:A85, A85)&gt;1, "Duplicate", IF(OR(B85="NA", ISERROR(B85), ISTEXT(B85)), "Invalid Date", IF(OR(C85=0, E85=0, H85=0, I85=0, J85=0), "Missing Data", "OK")))</f>
        <v>Missing Data</v>
      </c>
      <c r="O85" t="str">
        <f>IFERROR(INDEX(Reps!$B:$B, MATCH(K85, Reps!$A:$A, 0)), "Not Found")</f>
        <v>Vikram Nair</v>
      </c>
      <c r="P85" t="str">
        <f t="shared" si="3"/>
        <v>April</v>
      </c>
    </row>
    <row r="86" spans="1:16" x14ac:dyDescent="0.25">
      <c r="A86" t="s">
        <v>264</v>
      </c>
      <c r="B86" s="10">
        <f>IFERROR(IFERROR(INT(VALUE(Raw_Data!B86)), DATE(RIGHT(TRIM(Raw_Data!B86),4), MID(TRIM(Raw_Data!B86),4,2), LEFT(TRIM(Raw_Data!B86),2))), "NA")</f>
        <v>46813</v>
      </c>
      <c r="C86" s="12" t="s">
        <v>189</v>
      </c>
      <c r="D86" s="12" t="str">
        <f>IF(OR(LOWER(TRIM(Raw_Data!D86))="north",LOWER(TRIM(Raw_Data!D86))="n.",LOWER(SUBSTITUTE(TRIM(Raw_Data!D86)," ",""))="north"),"North",IF(OR(LOWER(TRIM(Raw_Data!D86))="south",LOWER(TRIM(Raw_Data!D86))="s."),"South",IF(OR(LOWER(TRIM(Raw_Data!D86))="east",LOWER(TRIM(Raw_Data!D86))="e."),"East",IF(OR(LOWER(TRIM(Raw_Data!D86))="west",LOWER(TRIM(Raw_Data!D86))="w."),"West",IF(OR(LOWER(TRIM(Raw_Data!D86))="central",LOWER(TRIM(Raw_Data!D86))="c."),"Central","Unknown")))))</f>
        <v>Central</v>
      </c>
      <c r="E86" s="12" t="s">
        <v>77</v>
      </c>
      <c r="F86" s="12" t="s">
        <v>78</v>
      </c>
      <c r="G86" s="12" t="s">
        <v>57</v>
      </c>
      <c r="H86" s="12">
        <f>IFERROR(VALUE(Raw_Data!H86),0)</f>
        <v>5</v>
      </c>
      <c r="I86" s="49">
        <f>IFERROR(VALUE(Raw_Data!I86),0)</f>
        <v>3500</v>
      </c>
      <c r="J86" s="12">
        <f>IFERROR(VALUE(Raw_Data!J86),0)</f>
        <v>0</v>
      </c>
      <c r="K86" s="12" t="s">
        <v>43</v>
      </c>
      <c r="L86" s="12" t="str">
        <f>IF(COUNTIF($A$2:A86, A86)&gt;1, "Duplicate", "Valid")</f>
        <v>Valid</v>
      </c>
      <c r="M86" s="50">
        <f t="shared" si="2"/>
        <v>17500</v>
      </c>
      <c r="N86" t="str">
        <f>IF(COUNTIF($A$2:A86, A86)&gt;1, "Duplicate", IF(OR(B86="NA", ISERROR(B86), ISTEXT(B86)), "Invalid Date", IF(OR(C86=0, E86=0, H86=0, I86=0, J86=0), "Missing Data", "OK")))</f>
        <v>Missing Data</v>
      </c>
      <c r="O86" t="str">
        <f>IFERROR(INDEX(Reps!$B:$B, MATCH(K86, Reps!$A:$A, 0)), "Not Found")</f>
        <v>Karan Mehta</v>
      </c>
      <c r="P86" t="str">
        <f t="shared" si="3"/>
        <v>March</v>
      </c>
    </row>
    <row r="87" spans="1:16" x14ac:dyDescent="0.25">
      <c r="A87" t="s">
        <v>267</v>
      </c>
      <c r="B87" s="10">
        <f>IFERROR(IFERROR(INT(VALUE(Raw_Data!B87)), DATE(RIGHT(TRIM(Raw_Data!B87),4), MID(TRIM(Raw_Data!B87),4,2), LEFT(TRIM(Raw_Data!B87),2))), "NA")</f>
        <v>45999</v>
      </c>
      <c r="C87" s="12" t="s">
        <v>126</v>
      </c>
      <c r="D87" s="12" t="str">
        <f>IF(OR(LOWER(TRIM(Raw_Data!D87))="north",LOWER(TRIM(Raw_Data!D87))="n.",LOWER(SUBSTITUTE(TRIM(Raw_Data!D87)," ",""))="north"),"North",IF(OR(LOWER(TRIM(Raw_Data!D87))="south",LOWER(TRIM(Raw_Data!D87))="s."),"South",IF(OR(LOWER(TRIM(Raw_Data!D87))="east",LOWER(TRIM(Raw_Data!D87))="e."),"East",IF(OR(LOWER(TRIM(Raw_Data!D87))="west",LOWER(TRIM(Raw_Data!D87))="w."),"West",IF(OR(LOWER(TRIM(Raw_Data!D87))="central",LOWER(TRIM(Raw_Data!D87))="c."),"Central","Unknown")))))</f>
        <v>North</v>
      </c>
      <c r="E87" s="12" t="s">
        <v>48</v>
      </c>
      <c r="F87" s="12" t="s">
        <v>49</v>
      </c>
      <c r="G87" s="12" t="s">
        <v>50</v>
      </c>
      <c r="H87" s="12">
        <f>IFERROR(VALUE(Raw_Data!H87),0)</f>
        <v>9</v>
      </c>
      <c r="I87" s="49">
        <f>IFERROR(VALUE(Raw_Data!I87),0)</f>
        <v>12000</v>
      </c>
      <c r="J87" s="12">
        <f>IFERROR(VALUE(Raw_Data!J87),0)</f>
        <v>0.05</v>
      </c>
      <c r="K87" s="12" t="s">
        <v>74</v>
      </c>
      <c r="L87" s="12" t="str">
        <f>IF(COUNTIF($A$2:A87, A87)&gt;1, "Duplicate", "Valid")</f>
        <v>Valid</v>
      </c>
      <c r="M87" s="50">
        <f t="shared" si="2"/>
        <v>102600</v>
      </c>
      <c r="N87" t="str">
        <f>IF(COUNTIF($A$2:A87, A87)&gt;1, "Duplicate", IF(OR(B87="NA", ISERROR(B87), ISTEXT(B87)), "Invalid Date", IF(OR(C87=0, E87=0, H87=0, I87=0, J87=0), "Missing Data", "OK")))</f>
        <v>OK</v>
      </c>
      <c r="O87" t="str">
        <f>IFERROR(INDEX(Reps!$B:$B, MATCH(K87, Reps!$A:$A, 0)), "Not Found")</f>
        <v>Rahul Verma</v>
      </c>
      <c r="P87" t="str">
        <f t="shared" si="3"/>
        <v>December</v>
      </c>
    </row>
    <row r="88" spans="1:16" x14ac:dyDescent="0.25">
      <c r="A88" t="s">
        <v>269</v>
      </c>
      <c r="B88" s="10">
        <f>IFERROR(IFERROR(INT(VALUE(Raw_Data!B88)), DATE(RIGHT(TRIM(Raw_Data!B88),4), MID(TRIM(Raw_Data!B88),4,2), LEFT(TRIM(Raw_Data!B88),2))), "NA")</f>
        <v>45966</v>
      </c>
      <c r="C88" s="12" t="s">
        <v>181</v>
      </c>
      <c r="D88" s="12" t="str">
        <f>IF(OR(LOWER(TRIM(Raw_Data!D88))="north",LOWER(TRIM(Raw_Data!D88))="n.",LOWER(SUBSTITUTE(TRIM(Raw_Data!D88)," ",""))="north"),"North",IF(OR(LOWER(TRIM(Raw_Data!D88))="south",LOWER(TRIM(Raw_Data!D88))="s."),"South",IF(OR(LOWER(TRIM(Raw_Data!D88))="east",LOWER(TRIM(Raw_Data!D88))="e."),"East",IF(OR(LOWER(TRIM(Raw_Data!D88))="west",LOWER(TRIM(Raw_Data!D88))="w."),"West",IF(OR(LOWER(TRIM(Raw_Data!D88))="central",LOWER(TRIM(Raw_Data!D88))="c."),"Central","Unknown")))))</f>
        <v>West</v>
      </c>
      <c r="E88" s="12" t="s">
        <v>48</v>
      </c>
      <c r="F88" s="12" t="s">
        <v>49</v>
      </c>
      <c r="G88" s="12" t="s">
        <v>50</v>
      </c>
      <c r="H88" s="12">
        <f>IFERROR(VALUE(Raw_Data!H88),0)</f>
        <v>7</v>
      </c>
      <c r="I88" s="49">
        <f>IFERROR(VALUE(Raw_Data!I88),0)</f>
        <v>12000</v>
      </c>
      <c r="J88" s="12">
        <f>IFERROR(VALUE(Raw_Data!J88),0)</f>
        <v>0.2</v>
      </c>
      <c r="K88" s="12" t="s">
        <v>70</v>
      </c>
      <c r="L88" s="12" t="str">
        <f>IF(COUNTIF($A$2:A88, A88)&gt;1, "Duplicate", "Valid")</f>
        <v>Valid</v>
      </c>
      <c r="M88" s="50">
        <f t="shared" si="2"/>
        <v>67200</v>
      </c>
      <c r="N88" t="str">
        <f>IF(COUNTIF($A$2:A88, A88)&gt;1, "Duplicate", IF(OR(B88="NA", ISERROR(B88), ISTEXT(B88)), "Invalid Date", IF(OR(C88=0, E88=0, H88=0, I88=0, J88=0), "Missing Data", "OK")))</f>
        <v>OK</v>
      </c>
      <c r="O88" t="str">
        <f>IFERROR(INDEX(Reps!$B:$B, MATCH(K88, Reps!$A:$A, 0)), "Not Found")</f>
        <v>Vikram Nair</v>
      </c>
      <c r="P88" t="str">
        <f t="shared" si="3"/>
        <v>November</v>
      </c>
    </row>
    <row r="89" spans="1:16" x14ac:dyDescent="0.25">
      <c r="A89" t="s">
        <v>271</v>
      </c>
      <c r="B89" s="10">
        <f>IFERROR(IFERROR(INT(VALUE(Raw_Data!B89)), DATE(RIGHT(TRIM(Raw_Data!B89),4), MID(TRIM(Raw_Data!B89),4,2), LEFT(TRIM(Raw_Data!B89),2))), "NA")</f>
        <v>46357</v>
      </c>
      <c r="C89" s="12" t="s">
        <v>60</v>
      </c>
      <c r="D89" s="12" t="str">
        <f>IF(OR(LOWER(TRIM(Raw_Data!D89))="north",LOWER(TRIM(Raw_Data!D89))="n.",LOWER(SUBSTITUTE(TRIM(Raw_Data!D89)," ",""))="north"),"North",IF(OR(LOWER(TRIM(Raw_Data!D89))="south",LOWER(TRIM(Raw_Data!D89))="s."),"South",IF(OR(LOWER(TRIM(Raw_Data!D89))="east",LOWER(TRIM(Raw_Data!D89))="e."),"East",IF(OR(LOWER(TRIM(Raw_Data!D89))="west",LOWER(TRIM(Raw_Data!D89))="w."),"West",IF(OR(LOWER(TRIM(Raw_Data!D89))="central",LOWER(TRIM(Raw_Data!D89))="c."),"Central","Unknown")))))</f>
        <v>Central</v>
      </c>
      <c r="E89" s="12" t="s">
        <v>120</v>
      </c>
      <c r="F89" s="12" t="s">
        <v>121</v>
      </c>
      <c r="G89" s="12" t="s">
        <v>42</v>
      </c>
      <c r="H89" s="12">
        <f>IFERROR(VALUE(Raw_Data!H89),0)</f>
        <v>10</v>
      </c>
      <c r="I89" s="49">
        <f>IFERROR(VALUE(Raw_Data!I89),0)</f>
        <v>250</v>
      </c>
      <c r="J89" s="12">
        <f>IFERROR(VALUE(Raw_Data!J89),0)</f>
        <v>0.25</v>
      </c>
      <c r="K89" s="12" t="s">
        <v>51</v>
      </c>
      <c r="L89" s="12" t="str">
        <f>IF(COUNTIF($A$2:A89, A89)&gt;1, "Duplicate", "Valid")</f>
        <v>Valid</v>
      </c>
      <c r="M89" s="50">
        <f t="shared" si="2"/>
        <v>1875</v>
      </c>
      <c r="N89" t="str">
        <f>IF(COUNTIF($A$2:A89, A89)&gt;1, "Duplicate", IF(OR(B89="NA", ISERROR(B89), ISTEXT(B89)), "Invalid Date", IF(OR(C89=0, E89=0, H89=0, I89=0, J89=0), "Missing Data", "OK")))</f>
        <v>OK</v>
      </c>
      <c r="O89" t="str">
        <f>IFERROR(INDEX(Reps!$B:$B, MATCH(K89, Reps!$A:$A, 0)), "Not Found")</f>
        <v>Priya Iyer</v>
      </c>
      <c r="P89" t="str">
        <f t="shared" si="3"/>
        <v>December</v>
      </c>
    </row>
    <row r="90" spans="1:16" x14ac:dyDescent="0.25">
      <c r="A90" t="s">
        <v>273</v>
      </c>
      <c r="B90" s="10">
        <f>IFERROR(IFERROR(INT(VALUE(Raw_Data!B90)), DATE(RIGHT(TRIM(Raw_Data!B90),4), MID(TRIM(Raw_Data!B90),4,2), LEFT(TRIM(Raw_Data!B90),2))), "NA")</f>
        <v>46140</v>
      </c>
      <c r="C90" s="12" t="s">
        <v>131</v>
      </c>
      <c r="D90" s="12" t="str">
        <f>IF(OR(LOWER(TRIM(Raw_Data!D90))="north",LOWER(TRIM(Raw_Data!D90))="n.",LOWER(SUBSTITUTE(TRIM(Raw_Data!D90)," ",""))="north"),"North",IF(OR(LOWER(TRIM(Raw_Data!D90))="south",LOWER(TRIM(Raw_Data!D90))="s."),"South",IF(OR(LOWER(TRIM(Raw_Data!D90))="east",LOWER(TRIM(Raw_Data!D90))="e."),"East",IF(OR(LOWER(TRIM(Raw_Data!D90))="west",LOWER(TRIM(Raw_Data!D90))="w."),"West",IF(OR(LOWER(TRIM(Raw_Data!D90))="central",LOWER(TRIM(Raw_Data!D90))="c."),"Central","Unknown")))))</f>
        <v>North</v>
      </c>
      <c r="E90" s="12" t="s">
        <v>98</v>
      </c>
      <c r="F90" s="12" t="s">
        <v>99</v>
      </c>
      <c r="G90" s="12" t="s">
        <v>50</v>
      </c>
      <c r="H90" s="12">
        <f>IFERROR(VALUE(Raw_Data!H90),0)</f>
        <v>7</v>
      </c>
      <c r="I90" s="49">
        <f>IFERROR(VALUE(Raw_Data!I90),0)</f>
        <v>28000</v>
      </c>
      <c r="J90" s="12">
        <f>IFERROR(VALUE(Raw_Data!J90),0)</f>
        <v>0.1</v>
      </c>
      <c r="K90" s="12" t="s">
        <v>79</v>
      </c>
      <c r="L90" s="12" t="str">
        <f>IF(COUNTIF($A$2:A90, A90)&gt;1, "Duplicate", "Valid")</f>
        <v>Valid</v>
      </c>
      <c r="M90" s="50">
        <f t="shared" si="2"/>
        <v>176400</v>
      </c>
      <c r="N90" t="str">
        <f>IF(COUNTIF($A$2:A90, A90)&gt;1, "Duplicate", IF(OR(B90="NA", ISERROR(B90), ISTEXT(B90)), "Invalid Date", IF(OR(C90=0, E90=0, H90=0, I90=0, J90=0), "Missing Data", "OK")))</f>
        <v>OK</v>
      </c>
      <c r="O90" t="str">
        <f>IFERROR(INDEX(Reps!$B:$B, MATCH(K90, Reps!$A:$A, 0)), "Not Found")</f>
        <v>Sneha Reddy</v>
      </c>
      <c r="P90" t="str">
        <f t="shared" si="3"/>
        <v>April</v>
      </c>
    </row>
    <row r="91" spans="1:16" x14ac:dyDescent="0.25">
      <c r="A91" t="s">
        <v>274</v>
      </c>
      <c r="B91" s="10">
        <f>IFERROR(IFERROR(INT(VALUE(Raw_Data!B91)), DATE(RIGHT(TRIM(Raw_Data!B91),4), MID(TRIM(Raw_Data!B91),4,2), LEFT(TRIM(Raw_Data!B91),2))), "NA")</f>
        <v>46084</v>
      </c>
      <c r="C91" s="12" t="s">
        <v>217</v>
      </c>
      <c r="D91" s="12" t="str">
        <f>IF(OR(LOWER(TRIM(Raw_Data!D91))="north",LOWER(TRIM(Raw_Data!D91))="n.",LOWER(SUBSTITUTE(TRIM(Raw_Data!D91)," ",""))="north"),"North",IF(OR(LOWER(TRIM(Raw_Data!D91))="south",LOWER(TRIM(Raw_Data!D91))="s."),"South",IF(OR(LOWER(TRIM(Raw_Data!D91))="east",LOWER(TRIM(Raw_Data!D91))="e."),"East",IF(OR(LOWER(TRIM(Raw_Data!D91))="west",LOWER(TRIM(Raw_Data!D91))="w."),"West",IF(OR(LOWER(TRIM(Raw_Data!D91))="central",LOWER(TRIM(Raw_Data!D91))="c."),"Central","Unknown")))))</f>
        <v>Central</v>
      </c>
      <c r="E91" s="12" t="s">
        <v>127</v>
      </c>
      <c r="F91" s="12" t="s">
        <v>128</v>
      </c>
      <c r="G91" s="12" t="s">
        <v>57</v>
      </c>
      <c r="H91" s="12">
        <f>IFERROR(VALUE(Raw_Data!H91),0)</f>
        <v>3</v>
      </c>
      <c r="I91" s="49">
        <f>IFERROR(VALUE(Raw_Data!I91),0)</f>
        <v>4500</v>
      </c>
      <c r="J91" s="12">
        <f>IFERROR(VALUE(Raw_Data!J91),0)</f>
        <v>0.2</v>
      </c>
      <c r="K91" s="12" t="s">
        <v>102</v>
      </c>
      <c r="L91" s="12" t="str">
        <f>IF(COUNTIF($A$2:A91, A91)&gt;1, "Duplicate", "Valid")</f>
        <v>Valid</v>
      </c>
      <c r="M91" s="50">
        <f t="shared" si="2"/>
        <v>10800</v>
      </c>
      <c r="N91" t="str">
        <f>IF(COUNTIF($A$2:A91, A91)&gt;1, "Duplicate", IF(OR(B91="NA", ISERROR(B91), ISTEXT(B91)), "Invalid Date", IF(OR(C91=0, E91=0, H91=0, I91=0, J91=0), "Missing Data", "OK")))</f>
        <v>OK</v>
      </c>
      <c r="O91" t="str">
        <f>IFERROR(INDEX(Reps!$B:$B, MATCH(K91, Reps!$A:$A, 0)), "Not Found")</f>
        <v>Anita Sharma</v>
      </c>
      <c r="P91" t="str">
        <f t="shared" si="3"/>
        <v>March</v>
      </c>
    </row>
    <row r="92" spans="1:16" x14ac:dyDescent="0.25">
      <c r="A92" t="s">
        <v>276</v>
      </c>
      <c r="B92" s="10">
        <f>IFERROR(IFERROR(INT(VALUE(Raw_Data!B92)), DATE(RIGHT(TRIM(Raw_Data!B92),4), MID(TRIM(Raw_Data!B92),4,2), LEFT(TRIM(Raw_Data!B92),2))), "NA")</f>
        <v>46109</v>
      </c>
      <c r="C92" s="12" t="s">
        <v>53</v>
      </c>
      <c r="D92" s="12" t="str">
        <f>IF(OR(LOWER(TRIM(Raw_Data!D92))="north",LOWER(TRIM(Raw_Data!D92))="n.",LOWER(SUBSTITUTE(TRIM(Raw_Data!D92)," ",""))="north"),"North",IF(OR(LOWER(TRIM(Raw_Data!D92))="south",LOWER(TRIM(Raw_Data!D92))="s."),"South",IF(OR(LOWER(TRIM(Raw_Data!D92))="east",LOWER(TRIM(Raw_Data!D92))="e."),"East",IF(OR(LOWER(TRIM(Raw_Data!D92))="west",LOWER(TRIM(Raw_Data!D92))="w."),"West",IF(OR(LOWER(TRIM(Raw_Data!D92))="central",LOWER(TRIM(Raw_Data!D92))="c."),"Central","Unknown")))))</f>
        <v>West</v>
      </c>
      <c r="E92" s="12" t="s">
        <v>111</v>
      </c>
      <c r="F92" s="12" t="s">
        <v>112</v>
      </c>
      <c r="G92" s="12" t="s">
        <v>57</v>
      </c>
      <c r="H92" s="12">
        <f>IFERROR(VALUE(Raw_Data!H92),0)</f>
        <v>4</v>
      </c>
      <c r="I92" s="49">
        <f>IFERROR(VALUE(Raw_Data!I92),0)</f>
        <v>18000</v>
      </c>
      <c r="J92" s="12">
        <f>IFERROR(VALUE(Raw_Data!J92),0)</f>
        <v>0.2</v>
      </c>
      <c r="K92" s="12" t="s">
        <v>43</v>
      </c>
      <c r="L92" s="12" t="str">
        <f>IF(COUNTIF($A$2:A92, A92)&gt;1, "Duplicate", "Valid")</f>
        <v>Valid</v>
      </c>
      <c r="M92" s="50">
        <f t="shared" si="2"/>
        <v>57600</v>
      </c>
      <c r="N92" t="str">
        <f>IF(COUNTIF($A$2:A92, A92)&gt;1, "Duplicate", IF(OR(B92="NA", ISERROR(B92), ISTEXT(B92)), "Invalid Date", IF(OR(C92=0, E92=0, H92=0, I92=0, J92=0), "Missing Data", "OK")))</f>
        <v>OK</v>
      </c>
      <c r="O92" t="str">
        <f>IFERROR(INDEX(Reps!$B:$B, MATCH(K92, Reps!$A:$A, 0)), "Not Found")</f>
        <v>Karan Mehta</v>
      </c>
      <c r="P92" t="str">
        <f t="shared" si="3"/>
        <v>March</v>
      </c>
    </row>
    <row r="93" spans="1:16" x14ac:dyDescent="0.25">
      <c r="A93" t="s">
        <v>278</v>
      </c>
      <c r="B93" s="10">
        <f>IFERROR(IFERROR(INT(VALUE(Raw_Data!B93)), DATE(RIGHT(TRIM(Raw_Data!B93),4), MID(TRIM(Raw_Data!B93),4,2), LEFT(TRIM(Raw_Data!B93),2))), "NA")</f>
        <v>46051</v>
      </c>
      <c r="C93" s="12" t="s">
        <v>82</v>
      </c>
      <c r="D93" s="12" t="str">
        <f>IF(OR(LOWER(TRIM(Raw_Data!D93))="north",LOWER(TRIM(Raw_Data!D93))="n.",LOWER(SUBSTITUTE(TRIM(Raw_Data!D93)," ",""))="north"),"North",IF(OR(LOWER(TRIM(Raw_Data!D93))="south",LOWER(TRIM(Raw_Data!D93))="s."),"South",IF(OR(LOWER(TRIM(Raw_Data!D93))="east",LOWER(TRIM(Raw_Data!D93))="e."),"East",IF(OR(LOWER(TRIM(Raw_Data!D93))="west",LOWER(TRIM(Raw_Data!D93))="w."),"West",IF(OR(LOWER(TRIM(Raw_Data!D93))="central",LOWER(TRIM(Raw_Data!D93))="c."),"Central","Unknown")))))</f>
        <v>South</v>
      </c>
      <c r="E93" s="12" t="s">
        <v>55</v>
      </c>
      <c r="F93" s="12" t="s">
        <v>56</v>
      </c>
      <c r="G93" s="12" t="s">
        <v>57</v>
      </c>
      <c r="H93" s="12">
        <f>IFERROR(VALUE(Raw_Data!H93),0)</f>
        <v>11</v>
      </c>
      <c r="I93" s="49">
        <f>IFERROR(VALUE(Raw_Data!I93),0)</f>
        <v>65000</v>
      </c>
      <c r="J93" s="12">
        <f>IFERROR(VALUE(Raw_Data!J93),0)</f>
        <v>0.15</v>
      </c>
      <c r="K93" s="12" t="s">
        <v>51</v>
      </c>
      <c r="L93" s="12" t="str">
        <f>IF(COUNTIF($A$2:A93, A93)&gt;1, "Duplicate", "Valid")</f>
        <v>Valid</v>
      </c>
      <c r="M93" s="50">
        <f t="shared" si="2"/>
        <v>607750</v>
      </c>
      <c r="N93" t="str">
        <f>IF(COUNTIF($A$2:A93, A93)&gt;1, "Duplicate", IF(OR(B93="NA", ISERROR(B93), ISTEXT(B93)), "Invalid Date", IF(OR(C93=0, E93=0, H93=0, I93=0, J93=0), "Missing Data", "OK")))</f>
        <v>OK</v>
      </c>
      <c r="O93" t="str">
        <f>IFERROR(INDEX(Reps!$B:$B, MATCH(K93, Reps!$A:$A, 0)), "Not Found")</f>
        <v>Priya Iyer</v>
      </c>
      <c r="P93" t="str">
        <f t="shared" si="3"/>
        <v>January</v>
      </c>
    </row>
    <row r="94" spans="1:16" x14ac:dyDescent="0.25">
      <c r="A94" t="s">
        <v>279</v>
      </c>
      <c r="B94" s="10">
        <f>IFERROR(IFERROR(INT(VALUE(Raw_Data!B94)), DATE(RIGHT(TRIM(Raw_Data!B94),4), MID(TRIM(Raw_Data!B94),4,2), LEFT(TRIM(Raw_Data!B94),2))), "NA")</f>
        <v>46116</v>
      </c>
      <c r="C94" s="12" t="s">
        <v>73</v>
      </c>
      <c r="D94" s="12" t="str">
        <f>IF(OR(LOWER(TRIM(Raw_Data!D94))="north",LOWER(TRIM(Raw_Data!D94))="n.",LOWER(SUBSTITUTE(TRIM(Raw_Data!D94)," ",""))="north"),"North",IF(OR(LOWER(TRIM(Raw_Data!D94))="south",LOWER(TRIM(Raw_Data!D94))="s."),"South",IF(OR(LOWER(TRIM(Raw_Data!D94))="east",LOWER(TRIM(Raw_Data!D94))="e."),"East",IF(OR(LOWER(TRIM(Raw_Data!D94))="west",LOWER(TRIM(Raw_Data!D94))="w."),"West",IF(OR(LOWER(TRIM(Raw_Data!D94))="central",LOWER(TRIM(Raw_Data!D94))="c."),"Central","Unknown")))))</f>
        <v>North</v>
      </c>
      <c r="E94" s="12" t="s">
        <v>55</v>
      </c>
      <c r="F94" s="12" t="s">
        <v>56</v>
      </c>
      <c r="G94" s="12" t="s">
        <v>57</v>
      </c>
      <c r="H94" s="12">
        <f>IFERROR(VALUE(Raw_Data!H94),0)</f>
        <v>8</v>
      </c>
      <c r="I94" s="49">
        <f>IFERROR(VALUE(Raw_Data!I94),0)</f>
        <v>65000</v>
      </c>
      <c r="J94" s="12">
        <f>IFERROR(VALUE(Raw_Data!J94),0)</f>
        <v>0.05</v>
      </c>
      <c r="K94" s="12" t="s">
        <v>79</v>
      </c>
      <c r="L94" s="12" t="str">
        <f>IF(COUNTIF($A$2:A94, A94)&gt;1, "Duplicate", "Valid")</f>
        <v>Valid</v>
      </c>
      <c r="M94" s="50">
        <f t="shared" si="2"/>
        <v>494000</v>
      </c>
      <c r="N94" t="str">
        <f>IF(COUNTIF($A$2:A94, A94)&gt;1, "Duplicate", IF(OR(B94="NA", ISERROR(B94), ISTEXT(B94)), "Invalid Date", IF(OR(C94=0, E94=0, H94=0, I94=0, J94=0), "Missing Data", "OK")))</f>
        <v>OK</v>
      </c>
      <c r="O94" t="str">
        <f>IFERROR(INDEX(Reps!$B:$B, MATCH(K94, Reps!$A:$A, 0)), "Not Found")</f>
        <v>Sneha Reddy</v>
      </c>
      <c r="P94" t="str">
        <f t="shared" si="3"/>
        <v>April</v>
      </c>
    </row>
    <row r="95" spans="1:16" x14ac:dyDescent="0.25">
      <c r="A95" t="s">
        <v>281</v>
      </c>
      <c r="B95" s="10">
        <f>IFERROR(IFERROR(INT(VALUE(Raw_Data!B95)), DATE(RIGHT(TRIM(Raw_Data!B95),4), MID(TRIM(Raw_Data!B95),4,2), LEFT(TRIM(Raw_Data!B95),2))), "NA")</f>
        <v>46075</v>
      </c>
      <c r="C95" s="12" t="s">
        <v>156</v>
      </c>
      <c r="D95" s="12" t="str">
        <f>IF(OR(LOWER(TRIM(Raw_Data!D95))="north",LOWER(TRIM(Raw_Data!D95))="n.",LOWER(SUBSTITUTE(TRIM(Raw_Data!D95)," ",""))="north"),"North",IF(OR(LOWER(TRIM(Raw_Data!D95))="south",LOWER(TRIM(Raw_Data!D95))="s."),"South",IF(OR(LOWER(TRIM(Raw_Data!D95))="east",LOWER(TRIM(Raw_Data!D95))="e."),"East",IF(OR(LOWER(TRIM(Raw_Data!D95))="west",LOWER(TRIM(Raw_Data!D95))="w."),"West",IF(OR(LOWER(TRIM(Raw_Data!D95))="central",LOWER(TRIM(Raw_Data!D95))="c."),"Central","Unknown")))))</f>
        <v>East</v>
      </c>
      <c r="E95" s="12" t="s">
        <v>89</v>
      </c>
      <c r="F95" s="12" t="s">
        <v>90</v>
      </c>
      <c r="G95" s="12" t="s">
        <v>91</v>
      </c>
      <c r="H95" s="12">
        <f>IFERROR(VALUE(Raw_Data!H95),0)</f>
        <v>3</v>
      </c>
      <c r="I95" s="49">
        <f>IFERROR(VALUE(Raw_Data!I95),0)</f>
        <v>2200</v>
      </c>
      <c r="J95" s="12">
        <f>IFERROR(VALUE(Raw_Data!J95),0)</f>
        <v>0.25</v>
      </c>
      <c r="K95" s="12" t="s">
        <v>70</v>
      </c>
      <c r="L95" s="12" t="str">
        <f>IF(COUNTIF($A$2:A95, A95)&gt;1, "Duplicate", "Valid")</f>
        <v>Valid</v>
      </c>
      <c r="M95" s="50">
        <f t="shared" si="2"/>
        <v>4950</v>
      </c>
      <c r="N95" t="str">
        <f>IF(COUNTIF($A$2:A95, A95)&gt;1, "Duplicate", IF(OR(B95="NA", ISERROR(B95), ISTEXT(B95)), "Invalid Date", IF(OR(C95=0, E95=0, H95=0, I95=0, J95=0), "Missing Data", "OK")))</f>
        <v>OK</v>
      </c>
      <c r="O95" t="str">
        <f>IFERROR(INDEX(Reps!$B:$B, MATCH(K95, Reps!$A:$A, 0)), "Not Found")</f>
        <v>Vikram Nair</v>
      </c>
      <c r="P95" t="str">
        <f t="shared" si="3"/>
        <v>February</v>
      </c>
    </row>
    <row r="96" spans="1:16" x14ac:dyDescent="0.25">
      <c r="A96" t="s">
        <v>283</v>
      </c>
      <c r="B96" s="10">
        <f>IFERROR(IFERROR(INT(VALUE(Raw_Data!B96)), DATE(RIGHT(TRIM(Raw_Data!B96),4), MID(TRIM(Raw_Data!B96),4,2), LEFT(TRIM(Raw_Data!B96),2))), "NA")</f>
        <v>46004</v>
      </c>
      <c r="C96" s="12" t="s">
        <v>226</v>
      </c>
      <c r="D96" s="12" t="str">
        <f>IF(OR(LOWER(TRIM(Raw_Data!D96))="north",LOWER(TRIM(Raw_Data!D96))="n.",LOWER(SUBSTITUTE(TRIM(Raw_Data!D96)," ",""))="north"),"North",IF(OR(LOWER(TRIM(Raw_Data!D96))="south",LOWER(TRIM(Raw_Data!D96))="s."),"South",IF(OR(LOWER(TRIM(Raw_Data!D96))="east",LOWER(TRIM(Raw_Data!D96))="e."),"East",IF(OR(LOWER(TRIM(Raw_Data!D96))="west",LOWER(TRIM(Raw_Data!D96))="w."),"West",IF(OR(LOWER(TRIM(Raw_Data!D96))="central",LOWER(TRIM(Raw_Data!D96))="c."),"Central","Unknown")))))</f>
        <v>North</v>
      </c>
      <c r="E96" s="12" t="s">
        <v>40</v>
      </c>
      <c r="F96" s="12" t="s">
        <v>41</v>
      </c>
      <c r="G96" s="12" t="s">
        <v>42</v>
      </c>
      <c r="H96" s="12">
        <f>IFERROR(VALUE(Raw_Data!H96),0)</f>
        <v>1</v>
      </c>
      <c r="I96" s="49">
        <f>IFERROR(VALUE(Raw_Data!I96),0)</f>
        <v>450</v>
      </c>
      <c r="J96" s="12">
        <f>IFERROR(VALUE(Raw_Data!J96),0)</f>
        <v>0</v>
      </c>
      <c r="K96" s="12" t="s">
        <v>79</v>
      </c>
      <c r="L96" s="12" t="str">
        <f>IF(COUNTIF($A$2:A96, A96)&gt;1, "Duplicate", "Valid")</f>
        <v>Valid</v>
      </c>
      <c r="M96" s="50">
        <f t="shared" si="2"/>
        <v>450</v>
      </c>
      <c r="N96" t="str">
        <f>IF(COUNTIF($A$2:A96, A96)&gt;1, "Duplicate", IF(OR(B96="NA", ISERROR(B96), ISTEXT(B96)), "Invalid Date", IF(OR(C96=0, E96=0, H96=0, I96=0, J96=0), "Missing Data", "OK")))</f>
        <v>Missing Data</v>
      </c>
      <c r="O96" t="str">
        <f>IFERROR(INDEX(Reps!$B:$B, MATCH(K96, Reps!$A:$A, 0)), "Not Found")</f>
        <v>Sneha Reddy</v>
      </c>
      <c r="P96" t="str">
        <f t="shared" si="3"/>
        <v>December</v>
      </c>
    </row>
    <row r="97" spans="1:16" x14ac:dyDescent="0.25">
      <c r="A97" t="s">
        <v>284</v>
      </c>
      <c r="B97" s="10">
        <f>IFERROR(IFERROR(INT(VALUE(Raw_Data!B97)), DATE(RIGHT(TRIM(Raw_Data!B97),4), MID(TRIM(Raw_Data!B97),4,2), LEFT(TRIM(Raw_Data!B97),2))), "NA")</f>
        <v>46059</v>
      </c>
      <c r="C97" s="12" t="s">
        <v>198</v>
      </c>
      <c r="D97" s="12" t="str">
        <f>IF(OR(LOWER(TRIM(Raw_Data!D97))="north",LOWER(TRIM(Raw_Data!D97))="n.",LOWER(SUBSTITUTE(TRIM(Raw_Data!D97)," ",""))="north"),"North",IF(OR(LOWER(TRIM(Raw_Data!D97))="south",LOWER(TRIM(Raw_Data!D97))="s."),"South",IF(OR(LOWER(TRIM(Raw_Data!D97))="east",LOWER(TRIM(Raw_Data!D97))="e."),"East",IF(OR(LOWER(TRIM(Raw_Data!D97))="west",LOWER(TRIM(Raw_Data!D97))="w."),"West",IF(OR(LOWER(TRIM(Raw_Data!D97))="central",LOWER(TRIM(Raw_Data!D97))="c."),"Central","Unknown")))))</f>
        <v>East</v>
      </c>
      <c r="E97" s="12" t="s">
        <v>127</v>
      </c>
      <c r="F97" s="12" t="s">
        <v>128</v>
      </c>
      <c r="G97" s="12" t="s">
        <v>57</v>
      </c>
      <c r="H97" s="12">
        <f>IFERROR(VALUE(Raw_Data!H97),0)</f>
        <v>11</v>
      </c>
      <c r="I97" s="49">
        <f>IFERROR(VALUE(Raw_Data!I97),0)</f>
        <v>4500</v>
      </c>
      <c r="J97" s="12">
        <f>IFERROR(VALUE(Raw_Data!J97),0)</f>
        <v>0</v>
      </c>
      <c r="K97" s="12" t="s">
        <v>51</v>
      </c>
      <c r="L97" s="12" t="str">
        <f>IF(COUNTIF($A$2:A97, A97)&gt;1, "Duplicate", "Valid")</f>
        <v>Valid</v>
      </c>
      <c r="M97" s="50">
        <f t="shared" si="2"/>
        <v>49500</v>
      </c>
      <c r="N97" t="str">
        <f>IF(COUNTIF($A$2:A97, A97)&gt;1, "Duplicate", IF(OR(B97="NA", ISERROR(B97), ISTEXT(B97)), "Invalid Date", IF(OR(C97=0, E97=0, H97=0, I97=0, J97=0), "Missing Data", "OK")))</f>
        <v>Missing Data</v>
      </c>
      <c r="O97" t="str">
        <f>IFERROR(INDEX(Reps!$B:$B, MATCH(K97, Reps!$A:$A, 0)), "Not Found")</f>
        <v>Priya Iyer</v>
      </c>
      <c r="P97" t="str">
        <f t="shared" si="3"/>
        <v>February</v>
      </c>
    </row>
    <row r="98" spans="1:16" x14ac:dyDescent="0.25">
      <c r="A98" t="s">
        <v>286</v>
      </c>
      <c r="B98" s="10">
        <f>IFERROR(IFERROR(INT(VALUE(Raw_Data!B98)), DATE(RIGHT(TRIM(Raw_Data!B98),4), MID(TRIM(Raw_Data!B98),4,2), LEFT(TRIM(Raw_Data!B98),2))), "NA")</f>
        <v>46079</v>
      </c>
      <c r="C98" s="12" t="s">
        <v>64</v>
      </c>
      <c r="D98" s="12" t="str">
        <f>IF(OR(LOWER(TRIM(Raw_Data!D98))="north",LOWER(TRIM(Raw_Data!D98))="n.",LOWER(SUBSTITUTE(TRIM(Raw_Data!D98)," ",""))="north"),"North",IF(OR(LOWER(TRIM(Raw_Data!D98))="south",LOWER(TRIM(Raw_Data!D98))="s."),"South",IF(OR(LOWER(TRIM(Raw_Data!D98))="east",LOWER(TRIM(Raw_Data!D98))="e."),"East",IF(OR(LOWER(TRIM(Raw_Data!D98))="west",LOWER(TRIM(Raw_Data!D98))="w."),"West",IF(OR(LOWER(TRIM(Raw_Data!D98))="central",LOWER(TRIM(Raw_Data!D98))="c."),"Central","Unknown")))))</f>
        <v>Central</v>
      </c>
      <c r="E98" s="12" t="s">
        <v>98</v>
      </c>
      <c r="F98" s="12" t="s">
        <v>99</v>
      </c>
      <c r="G98" s="12" t="s">
        <v>50</v>
      </c>
      <c r="H98" s="12">
        <f>IFERROR(VALUE(Raw_Data!H98),0)</f>
        <v>9</v>
      </c>
      <c r="I98" s="49">
        <f>IFERROR(VALUE(Raw_Data!I98),0)</f>
        <v>28000</v>
      </c>
      <c r="J98" s="12">
        <f>IFERROR(VALUE(Raw_Data!J98),0)</f>
        <v>0.1</v>
      </c>
      <c r="K98" s="12" t="s">
        <v>51</v>
      </c>
      <c r="L98" s="12" t="str">
        <f>IF(COUNTIF($A$2:A98, A98)&gt;1, "Duplicate", "Valid")</f>
        <v>Valid</v>
      </c>
      <c r="M98" s="50">
        <f t="shared" si="2"/>
        <v>226800</v>
      </c>
      <c r="N98" t="str">
        <f>IF(COUNTIF($A$2:A98, A98)&gt;1, "Duplicate", IF(OR(B98="NA", ISERROR(B98), ISTEXT(B98)), "Invalid Date", IF(OR(C98=0, E98=0, H98=0, I98=0, J98=0), "Missing Data", "OK")))</f>
        <v>OK</v>
      </c>
      <c r="O98" t="str">
        <f>IFERROR(INDEX(Reps!$B:$B, MATCH(K98, Reps!$A:$A, 0)), "Not Found")</f>
        <v>Priya Iyer</v>
      </c>
      <c r="P98" t="str">
        <f t="shared" si="3"/>
        <v>February</v>
      </c>
    </row>
    <row r="99" spans="1:16" x14ac:dyDescent="0.25">
      <c r="A99" t="s">
        <v>288</v>
      </c>
      <c r="B99" s="10">
        <f>IFERROR(IFERROR(INT(VALUE(Raw_Data!B99)), DATE(RIGHT(TRIM(Raw_Data!B99),4), MID(TRIM(Raw_Data!B99),4,2), LEFT(TRIM(Raw_Data!B99),2))), "NA")</f>
        <v>46071</v>
      </c>
      <c r="C99" s="12" t="s">
        <v>189</v>
      </c>
      <c r="D99" s="12" t="str">
        <f>IF(OR(LOWER(TRIM(Raw_Data!D99))="north",LOWER(TRIM(Raw_Data!D99))="n.",LOWER(SUBSTITUTE(TRIM(Raw_Data!D99)," ",""))="north"),"North",IF(OR(LOWER(TRIM(Raw_Data!D99))="south",LOWER(TRIM(Raw_Data!D99))="s."),"South",IF(OR(LOWER(TRIM(Raw_Data!D99))="east",LOWER(TRIM(Raw_Data!D99))="e."),"East",IF(OR(LOWER(TRIM(Raw_Data!D99))="west",LOWER(TRIM(Raw_Data!D99))="w."),"West",IF(OR(LOWER(TRIM(Raw_Data!D99))="central",LOWER(TRIM(Raw_Data!D99))="c."),"Central","Unknown")))))</f>
        <v>East</v>
      </c>
      <c r="E99" s="12" t="s">
        <v>48</v>
      </c>
      <c r="F99" s="12" t="s">
        <v>49</v>
      </c>
      <c r="G99" s="12" t="s">
        <v>50</v>
      </c>
      <c r="H99" s="12">
        <f>IFERROR(VALUE(Raw_Data!H99),0)</f>
        <v>11</v>
      </c>
      <c r="I99" s="49">
        <f>IFERROR(VALUE(Raw_Data!I99),0)</f>
        <v>12000</v>
      </c>
      <c r="J99" s="12">
        <f>IFERROR(VALUE(Raw_Data!J99),0)</f>
        <v>0.05</v>
      </c>
      <c r="K99" s="12" t="s">
        <v>43</v>
      </c>
      <c r="L99" s="12" t="str">
        <f>IF(COUNTIF($A$2:A99, A99)&gt;1, "Duplicate", "Valid")</f>
        <v>Valid</v>
      </c>
      <c r="M99" s="50">
        <f t="shared" si="2"/>
        <v>125400</v>
      </c>
      <c r="N99" t="str">
        <f>IF(COUNTIF($A$2:A99, A99)&gt;1, "Duplicate", IF(OR(B99="NA", ISERROR(B99), ISTEXT(B99)), "Invalid Date", IF(OR(C99=0, E99=0, H99=0, I99=0, J99=0), "Missing Data", "OK")))</f>
        <v>OK</v>
      </c>
      <c r="O99" t="str">
        <f>IFERROR(INDEX(Reps!$B:$B, MATCH(K99, Reps!$A:$A, 0)), "Not Found")</f>
        <v>Karan Mehta</v>
      </c>
      <c r="P99" t="str">
        <f t="shared" si="3"/>
        <v>February</v>
      </c>
    </row>
    <row r="100" spans="1:16" x14ac:dyDescent="0.25">
      <c r="A100" t="s">
        <v>289</v>
      </c>
      <c r="B100" s="10">
        <f>IFERROR(IFERROR(INT(VALUE(Raw_Data!B100)), DATE(RIGHT(TRIM(Raw_Data!B100),4), MID(TRIM(Raw_Data!B100),4,2), LEFT(TRIM(Raw_Data!B100),2))), "NA")</f>
        <v>46018</v>
      </c>
      <c r="C100" s="12" t="s">
        <v>230</v>
      </c>
      <c r="D100" s="12" t="str">
        <f>IF(OR(LOWER(TRIM(Raw_Data!D100))="north",LOWER(TRIM(Raw_Data!D100))="n.",LOWER(SUBSTITUTE(TRIM(Raw_Data!D100)," ",""))="north"),"North",IF(OR(LOWER(TRIM(Raw_Data!D100))="south",LOWER(TRIM(Raw_Data!D100))="s."),"South",IF(OR(LOWER(TRIM(Raw_Data!D100))="east",LOWER(TRIM(Raw_Data!D100))="e."),"East",IF(OR(LOWER(TRIM(Raw_Data!D100))="west",LOWER(TRIM(Raw_Data!D100))="w."),"West",IF(OR(LOWER(TRIM(Raw_Data!D100))="central",LOWER(TRIM(Raw_Data!D100))="c."),"Central","Unknown")))))</f>
        <v>South</v>
      </c>
      <c r="E100" s="12" t="s">
        <v>55</v>
      </c>
      <c r="F100" s="12" t="s">
        <v>56</v>
      </c>
      <c r="G100" s="12" t="s">
        <v>57</v>
      </c>
      <c r="H100" s="12">
        <f>IFERROR(VALUE(Raw_Data!H100),0)</f>
        <v>3</v>
      </c>
      <c r="I100" s="49">
        <f>IFERROR(VALUE(Raw_Data!I100),0)</f>
        <v>65000</v>
      </c>
      <c r="J100" s="12">
        <f>IFERROR(VALUE(Raw_Data!J100),0)</f>
        <v>0</v>
      </c>
      <c r="K100" s="12" t="s">
        <v>51</v>
      </c>
      <c r="L100" s="12" t="str">
        <f>IF(COUNTIF($A$2:A100, A100)&gt;1, "Duplicate", "Valid")</f>
        <v>Valid</v>
      </c>
      <c r="M100" s="50">
        <f t="shared" si="2"/>
        <v>195000</v>
      </c>
      <c r="N100" t="str">
        <f>IF(COUNTIF($A$2:A100, A100)&gt;1, "Duplicate", IF(OR(B100="NA", ISERROR(B100), ISTEXT(B100)), "Invalid Date", IF(OR(C100=0, E100=0, H100=0, I100=0, J100=0), "Missing Data", "OK")))</f>
        <v>Missing Data</v>
      </c>
      <c r="O100" t="str">
        <f>IFERROR(INDEX(Reps!$B:$B, MATCH(K100, Reps!$A:$A, 0)), "Not Found")</f>
        <v>Priya Iyer</v>
      </c>
      <c r="P100" t="str">
        <f t="shared" si="3"/>
        <v>December</v>
      </c>
    </row>
    <row r="101" spans="1:16" x14ac:dyDescent="0.25">
      <c r="A101" t="s">
        <v>291</v>
      </c>
      <c r="B101" s="10">
        <f>IFERROR(IFERROR(INT(VALUE(Raw_Data!B101)), DATE(RIGHT(TRIM(Raw_Data!B101),4), MID(TRIM(Raw_Data!B101),4,2), LEFT(TRIM(Raw_Data!B101),2))), "NA")</f>
        <v>46114</v>
      </c>
      <c r="C101" s="12" t="s">
        <v>151</v>
      </c>
      <c r="D101" s="12" t="str">
        <f>IF(OR(LOWER(TRIM(Raw_Data!D101))="north",LOWER(TRIM(Raw_Data!D101))="n.",LOWER(SUBSTITUTE(TRIM(Raw_Data!D101)," ",""))="north"),"North",IF(OR(LOWER(TRIM(Raw_Data!D101))="south",LOWER(TRIM(Raw_Data!D101))="s."),"South",IF(OR(LOWER(TRIM(Raw_Data!D101))="east",LOWER(TRIM(Raw_Data!D101))="e."),"East",IF(OR(LOWER(TRIM(Raw_Data!D101))="west",LOWER(TRIM(Raw_Data!D101))="w."),"West",IF(OR(LOWER(TRIM(Raw_Data!D101))="central",LOWER(TRIM(Raw_Data!D101))="c."),"Central","Unknown")))))</f>
        <v>Central</v>
      </c>
      <c r="E101" s="12" t="s">
        <v>111</v>
      </c>
      <c r="F101" s="12" t="s">
        <v>112</v>
      </c>
      <c r="G101" s="12" t="s">
        <v>57</v>
      </c>
      <c r="H101" s="12">
        <f>IFERROR(VALUE(Raw_Data!H101),0)</f>
        <v>11</v>
      </c>
      <c r="I101" s="49">
        <f>IFERROR(VALUE(Raw_Data!I101),0)</f>
        <v>18000</v>
      </c>
      <c r="J101" s="12">
        <f>IFERROR(VALUE(Raw_Data!J101),0)</f>
        <v>0.25</v>
      </c>
      <c r="K101" s="12" t="s">
        <v>102</v>
      </c>
      <c r="L101" s="12" t="str">
        <f>IF(COUNTIF($A$2:A101, A101)&gt;1, "Duplicate", "Valid")</f>
        <v>Valid</v>
      </c>
      <c r="M101" s="50">
        <f t="shared" si="2"/>
        <v>148500</v>
      </c>
      <c r="N101" t="str">
        <f>IF(COUNTIF($A$2:A101, A101)&gt;1, "Duplicate", IF(OR(B101="NA", ISERROR(B101), ISTEXT(B101)), "Invalid Date", IF(OR(C101=0, E101=0, H101=0, I101=0, J101=0), "Missing Data", "OK")))</f>
        <v>OK</v>
      </c>
      <c r="O101" t="str">
        <f>IFERROR(INDEX(Reps!$B:$B, MATCH(K101, Reps!$A:$A, 0)), "Not Found")</f>
        <v>Anita Sharma</v>
      </c>
      <c r="P101" t="str">
        <f t="shared" si="3"/>
        <v>April</v>
      </c>
    </row>
    <row r="102" spans="1:16" x14ac:dyDescent="0.25">
      <c r="A102" t="s">
        <v>293</v>
      </c>
      <c r="B102" s="10">
        <f>IFERROR(IFERROR(INT(VALUE(Raw_Data!B102)), DATE(RIGHT(TRIM(Raw_Data!B102),4), MID(TRIM(Raw_Data!B102),4,2), LEFT(TRIM(Raw_Data!B102),2))), "NA")</f>
        <v>46077</v>
      </c>
      <c r="C102" s="12" t="s">
        <v>226</v>
      </c>
      <c r="D102" s="12" t="str">
        <f>IF(OR(LOWER(TRIM(Raw_Data!D102))="north",LOWER(TRIM(Raw_Data!D102))="n.",LOWER(SUBSTITUTE(TRIM(Raw_Data!D102)," ",""))="north"),"North",IF(OR(LOWER(TRIM(Raw_Data!D102))="south",LOWER(TRIM(Raw_Data!D102))="s."),"South",IF(OR(LOWER(TRIM(Raw_Data!D102))="east",LOWER(TRIM(Raw_Data!D102))="e."),"East",IF(OR(LOWER(TRIM(Raw_Data!D102))="west",LOWER(TRIM(Raw_Data!D102))="w."),"West",IF(OR(LOWER(TRIM(Raw_Data!D102))="central",LOWER(TRIM(Raw_Data!D102))="c."),"Central","Unknown")))))</f>
        <v>West</v>
      </c>
      <c r="E102" s="12" t="s">
        <v>55</v>
      </c>
      <c r="F102" s="12" t="s">
        <v>56</v>
      </c>
      <c r="G102" s="12" t="s">
        <v>57</v>
      </c>
      <c r="H102" s="12">
        <f>IFERROR(VALUE(Raw_Data!H102),0)</f>
        <v>7</v>
      </c>
      <c r="I102" s="49">
        <f>IFERROR(VALUE(Raw_Data!I102),0)</f>
        <v>65000</v>
      </c>
      <c r="J102" s="12">
        <f>IFERROR(VALUE(Raw_Data!J102),0)</f>
        <v>0.15</v>
      </c>
      <c r="K102" s="12" t="s">
        <v>74</v>
      </c>
      <c r="L102" s="12" t="str">
        <f>IF(COUNTIF($A$2:A102, A102)&gt;1, "Duplicate", "Valid")</f>
        <v>Valid</v>
      </c>
      <c r="M102" s="50">
        <f t="shared" si="2"/>
        <v>386750</v>
      </c>
      <c r="N102" t="str">
        <f>IF(COUNTIF($A$2:A102, A102)&gt;1, "Duplicate", IF(OR(B102="NA", ISERROR(B102), ISTEXT(B102)), "Invalid Date", IF(OR(C102=0, E102=0, H102=0, I102=0, J102=0), "Missing Data", "OK")))</f>
        <v>OK</v>
      </c>
      <c r="O102" t="str">
        <f>IFERROR(INDEX(Reps!$B:$B, MATCH(K102, Reps!$A:$A, 0)), "Not Found")</f>
        <v>Rahul Verma</v>
      </c>
      <c r="P102" t="str">
        <f t="shared" si="3"/>
        <v>February</v>
      </c>
    </row>
    <row r="103" spans="1:16" x14ac:dyDescent="0.25">
      <c r="A103" t="s">
        <v>286</v>
      </c>
      <c r="B103" s="10">
        <f>IFERROR(IFERROR(INT(VALUE(Raw_Data!B103)), DATE(RIGHT(TRIM(Raw_Data!B103),4), MID(TRIM(Raw_Data!B103),4,2), LEFT(TRIM(Raw_Data!B103),2))), "NA")</f>
        <v>46079</v>
      </c>
      <c r="C103" s="12" t="s">
        <v>64</v>
      </c>
      <c r="D103" s="12" t="str">
        <f>IF(OR(LOWER(TRIM(Raw_Data!D103))="north",LOWER(TRIM(Raw_Data!D103))="n.",LOWER(SUBSTITUTE(TRIM(Raw_Data!D103)," ",""))="north"),"North",IF(OR(LOWER(TRIM(Raw_Data!D103))="south",LOWER(TRIM(Raw_Data!D103))="s."),"South",IF(OR(LOWER(TRIM(Raw_Data!D103))="east",LOWER(TRIM(Raw_Data!D103))="e."),"East",IF(OR(LOWER(TRIM(Raw_Data!D103))="west",LOWER(TRIM(Raw_Data!D103))="w."),"West",IF(OR(LOWER(TRIM(Raw_Data!D103))="central",LOWER(TRIM(Raw_Data!D103))="c."),"Central","Unknown")))))</f>
        <v>Central</v>
      </c>
      <c r="E103" s="12" t="s">
        <v>98</v>
      </c>
      <c r="F103" s="12" t="s">
        <v>99</v>
      </c>
      <c r="G103" s="12" t="s">
        <v>50</v>
      </c>
      <c r="H103" s="12">
        <f>IFERROR(VALUE(Raw_Data!H103),0)</f>
        <v>9</v>
      </c>
      <c r="I103" s="49">
        <f>IFERROR(VALUE(Raw_Data!I103),0)</f>
        <v>28000</v>
      </c>
      <c r="J103" s="12">
        <f>IFERROR(VALUE(Raw_Data!J103),0)</f>
        <v>0.1</v>
      </c>
      <c r="K103" s="12" t="s">
        <v>51</v>
      </c>
      <c r="L103" s="12" t="str">
        <f>IF(COUNTIF($A$2:A103, A103)&gt;1, "Duplicate", "Valid")</f>
        <v>Duplicate</v>
      </c>
      <c r="M103" s="50">
        <f t="shared" si="2"/>
        <v>226800</v>
      </c>
      <c r="N103" t="str">
        <f>IF(COUNTIF($A$2:A103, A103)&gt;1, "Duplicate", IF(OR(B103="NA", ISERROR(B103), ISTEXT(B103)), "Invalid Date", IF(OR(C103=0, E103=0, H103=0, I103=0, J103=0), "Missing Data", "OK")))</f>
        <v>Duplicate</v>
      </c>
      <c r="O103" t="str">
        <f>IFERROR(INDEX(Reps!$B:$B, MATCH(K103, Reps!$A:$A, 0)), "Not Found")</f>
        <v>Priya Iyer</v>
      </c>
      <c r="P103" t="str">
        <f t="shared" si="3"/>
        <v>February</v>
      </c>
    </row>
    <row r="104" spans="1:16" x14ac:dyDescent="0.25">
      <c r="A104" t="s">
        <v>294</v>
      </c>
      <c r="B104" s="10">
        <f>IFERROR(IFERROR(INT(VALUE(Raw_Data!B104)), DATE(RIGHT(TRIM(Raw_Data!B104),4), MID(TRIM(Raw_Data!B104),4,2), LEFT(TRIM(Raw_Data!B104),2))), "NA")</f>
        <v>45983</v>
      </c>
      <c r="C104" s="12" t="s">
        <v>262</v>
      </c>
      <c r="D104" s="12" t="str">
        <f>IF(OR(LOWER(TRIM(Raw_Data!D104))="north",LOWER(TRIM(Raw_Data!D104))="n.",LOWER(SUBSTITUTE(TRIM(Raw_Data!D104)," ",""))="north"),"North",IF(OR(LOWER(TRIM(Raw_Data!D104))="south",LOWER(TRIM(Raw_Data!D104))="s."),"South",IF(OR(LOWER(TRIM(Raw_Data!D104))="east",LOWER(TRIM(Raw_Data!D104))="e."),"East",IF(OR(LOWER(TRIM(Raw_Data!D104))="west",LOWER(TRIM(Raw_Data!D104))="w."),"West",IF(OR(LOWER(TRIM(Raw_Data!D104))="central",LOWER(TRIM(Raw_Data!D104))="c."),"Central","Unknown")))))</f>
        <v>South</v>
      </c>
      <c r="E104" s="12" t="s">
        <v>89</v>
      </c>
      <c r="F104" s="12" t="s">
        <v>90</v>
      </c>
      <c r="G104" s="12" t="s">
        <v>91</v>
      </c>
      <c r="H104" s="12">
        <f>IFERROR(VALUE(Raw_Data!H104),0)</f>
        <v>1</v>
      </c>
      <c r="I104" s="49">
        <f>IFERROR(VALUE(Raw_Data!I104),0)</f>
        <v>2200</v>
      </c>
      <c r="J104" s="12">
        <f>IFERROR(VALUE(Raw_Data!J104),0)</f>
        <v>0.2</v>
      </c>
      <c r="K104" s="12" t="s">
        <v>79</v>
      </c>
      <c r="L104" s="12" t="str">
        <f>IF(COUNTIF($A$2:A104, A104)&gt;1, "Duplicate", "Valid")</f>
        <v>Valid</v>
      </c>
      <c r="M104" s="50">
        <f t="shared" si="2"/>
        <v>1760</v>
      </c>
      <c r="N104" t="str">
        <f>IF(COUNTIF($A$2:A104, A104)&gt;1, "Duplicate", IF(OR(B104="NA", ISERROR(B104), ISTEXT(B104)), "Invalid Date", IF(OR(C104=0, E104=0, H104=0, I104=0, J104=0), "Missing Data", "OK")))</f>
        <v>OK</v>
      </c>
      <c r="O104" t="str">
        <f>IFERROR(INDEX(Reps!$B:$B, MATCH(K104, Reps!$A:$A, 0)), "Not Found")</f>
        <v>Sneha Reddy</v>
      </c>
      <c r="P104" t="str">
        <f t="shared" si="3"/>
        <v>November</v>
      </c>
    </row>
    <row r="105" spans="1:16" x14ac:dyDescent="0.25">
      <c r="A105" t="s">
        <v>297</v>
      </c>
      <c r="B105" s="10">
        <f>IFERROR(IFERROR(INT(VALUE(Raw_Data!B105)), DATE(RIGHT(TRIM(Raw_Data!B105),4), MID(TRIM(Raw_Data!B105),4,2), LEFT(TRIM(Raw_Data!B105),2))), "NA")</f>
        <v>46036</v>
      </c>
      <c r="C105" s="12" t="s">
        <v>82</v>
      </c>
      <c r="D105" s="12" t="str">
        <f>IF(OR(LOWER(TRIM(Raw_Data!D105))="north",LOWER(TRIM(Raw_Data!D105))="n.",LOWER(SUBSTITUTE(TRIM(Raw_Data!D105)," ",""))="north"),"North",IF(OR(LOWER(TRIM(Raw_Data!D105))="south",LOWER(TRIM(Raw_Data!D105))="s."),"South",IF(OR(LOWER(TRIM(Raw_Data!D105))="east",LOWER(TRIM(Raw_Data!D105))="e."),"East",IF(OR(LOWER(TRIM(Raw_Data!D105))="west",LOWER(TRIM(Raw_Data!D105))="w."),"West",IF(OR(LOWER(TRIM(Raw_Data!D105))="central",LOWER(TRIM(Raw_Data!D105))="c."),"Central","Unknown")))))</f>
        <v>North</v>
      </c>
      <c r="E105" s="12" t="s">
        <v>111</v>
      </c>
      <c r="F105" s="12" t="s">
        <v>112</v>
      </c>
      <c r="G105" s="12" t="s">
        <v>57</v>
      </c>
      <c r="H105" s="12">
        <f>IFERROR(VALUE(Raw_Data!H105),0)</f>
        <v>5</v>
      </c>
      <c r="I105" s="49">
        <f>IFERROR(VALUE(Raw_Data!I105),0)</f>
        <v>18000</v>
      </c>
      <c r="J105" s="12">
        <f>IFERROR(VALUE(Raw_Data!J105),0)</f>
        <v>0</v>
      </c>
      <c r="K105" s="12" t="s">
        <v>51</v>
      </c>
      <c r="L105" s="12" t="str">
        <f>IF(COUNTIF($A$2:A105, A105)&gt;1, "Duplicate", "Valid")</f>
        <v>Valid</v>
      </c>
      <c r="M105" s="50">
        <f t="shared" si="2"/>
        <v>90000</v>
      </c>
      <c r="N105" t="str">
        <f>IF(COUNTIF($A$2:A105, A105)&gt;1, "Duplicate", IF(OR(B105="NA", ISERROR(B105), ISTEXT(B105)), "Invalid Date", IF(OR(C105=0, E105=0, H105=0, I105=0, J105=0), "Missing Data", "OK")))</f>
        <v>Missing Data</v>
      </c>
      <c r="O105" t="str">
        <f>IFERROR(INDEX(Reps!$B:$B, MATCH(K105, Reps!$A:$A, 0)), "Not Found")</f>
        <v>Priya Iyer</v>
      </c>
      <c r="P105" t="str">
        <f t="shared" si="3"/>
        <v>January</v>
      </c>
    </row>
    <row r="106" spans="1:16" x14ac:dyDescent="0.25">
      <c r="A106" t="s">
        <v>299</v>
      </c>
      <c r="B106" s="10">
        <f>IFERROR(IFERROR(INT(VALUE(Raw_Data!B106)), DATE(RIGHT(TRIM(Raw_Data!B106),4), MID(TRIM(Raw_Data!B106),4,2), LEFT(TRIM(Raw_Data!B106),2))), "NA")</f>
        <v>46105</v>
      </c>
      <c r="C106" s="12" t="s">
        <v>64</v>
      </c>
      <c r="D106" s="12" t="str">
        <f>IF(OR(LOWER(TRIM(Raw_Data!D106))="north",LOWER(TRIM(Raw_Data!D106))="n.",LOWER(SUBSTITUTE(TRIM(Raw_Data!D106)," ",""))="north"),"North",IF(OR(LOWER(TRIM(Raw_Data!D106))="south",LOWER(TRIM(Raw_Data!D106))="s."),"South",IF(OR(LOWER(TRIM(Raw_Data!D106))="east",LOWER(TRIM(Raw_Data!D106))="e."),"East",IF(OR(LOWER(TRIM(Raw_Data!D106))="west",LOWER(TRIM(Raw_Data!D106))="w."),"West",IF(OR(LOWER(TRIM(Raw_Data!D106))="central",LOWER(TRIM(Raw_Data!D106))="c."),"Central","Unknown")))))</f>
        <v>East</v>
      </c>
      <c r="E106" s="12" t="s">
        <v>55</v>
      </c>
      <c r="F106" s="12" t="s">
        <v>56</v>
      </c>
      <c r="G106" s="12" t="s">
        <v>57</v>
      </c>
      <c r="H106" s="12">
        <f>IFERROR(VALUE(Raw_Data!H106),0)</f>
        <v>7</v>
      </c>
      <c r="I106" s="49">
        <f>IFERROR(VALUE(Raw_Data!I106),0)</f>
        <v>0</v>
      </c>
      <c r="J106" s="12">
        <f>IFERROR(VALUE(Raw_Data!J106),0)</f>
        <v>0.15</v>
      </c>
      <c r="K106" s="12" t="s">
        <v>79</v>
      </c>
      <c r="L106" s="12" t="str">
        <f>IF(COUNTIF($A$2:A106, A106)&gt;1, "Duplicate", "Valid")</f>
        <v>Valid</v>
      </c>
      <c r="M106" s="50">
        <f t="shared" si="2"/>
        <v>0</v>
      </c>
      <c r="N106" t="str">
        <f>IF(COUNTIF($A$2:A106, A106)&gt;1, "Duplicate", IF(OR(B106="NA", ISERROR(B106), ISTEXT(B106)), "Invalid Date", IF(OR(C106=0, E106=0, H106=0, I106=0, J106=0), "Missing Data", "OK")))</f>
        <v>Missing Data</v>
      </c>
      <c r="O106" t="str">
        <f>IFERROR(INDEX(Reps!$B:$B, MATCH(K106, Reps!$A:$A, 0)), "Not Found")</f>
        <v>Sneha Reddy</v>
      </c>
      <c r="P106" t="str">
        <f t="shared" si="3"/>
        <v>March</v>
      </c>
    </row>
    <row r="107" spans="1:16" x14ac:dyDescent="0.25">
      <c r="A107" t="s">
        <v>300</v>
      </c>
      <c r="B107" s="10">
        <f>IFERROR(IFERROR(INT(VALUE(Raw_Data!B107)), DATE(RIGHT(TRIM(Raw_Data!B107),4), MID(TRIM(Raw_Data!B107),4,2), LEFT(TRIM(Raw_Data!B107),2))), "NA")</f>
        <v>46398</v>
      </c>
      <c r="C107" s="12" t="s">
        <v>168</v>
      </c>
      <c r="D107" s="12" t="str">
        <f>IF(OR(LOWER(TRIM(Raw_Data!D107))="north",LOWER(TRIM(Raw_Data!D107))="n.",LOWER(SUBSTITUTE(TRIM(Raw_Data!D107)," ",""))="north"),"North",IF(OR(LOWER(TRIM(Raw_Data!D107))="south",LOWER(TRIM(Raw_Data!D107))="s."),"South",IF(OR(LOWER(TRIM(Raw_Data!D107))="east",LOWER(TRIM(Raw_Data!D107))="e."),"East",IF(OR(LOWER(TRIM(Raw_Data!D107))="west",LOWER(TRIM(Raw_Data!D107))="w."),"West",IF(OR(LOWER(TRIM(Raw_Data!D107))="central",LOWER(TRIM(Raw_Data!D107))="c."),"Central","Unknown")))))</f>
        <v>North</v>
      </c>
      <c r="E107" s="12" t="s">
        <v>111</v>
      </c>
      <c r="F107" s="12" t="s">
        <v>112</v>
      </c>
      <c r="G107" s="12" t="s">
        <v>57</v>
      </c>
      <c r="H107" s="12">
        <f>IFERROR(VALUE(Raw_Data!H107),0)</f>
        <v>8</v>
      </c>
      <c r="I107" s="49">
        <f>IFERROR(VALUE(Raw_Data!I107),0)</f>
        <v>18000</v>
      </c>
      <c r="J107" s="12">
        <f>IFERROR(VALUE(Raw_Data!J107),0)</f>
        <v>0.25</v>
      </c>
      <c r="K107" s="12" t="s">
        <v>43</v>
      </c>
      <c r="L107" s="12" t="str">
        <f>IF(COUNTIF($A$2:A107, A107)&gt;1, "Duplicate", "Valid")</f>
        <v>Valid</v>
      </c>
      <c r="M107" s="50">
        <f t="shared" si="2"/>
        <v>108000</v>
      </c>
      <c r="N107" t="str">
        <f>IF(COUNTIF($A$2:A107, A107)&gt;1, "Duplicate", IF(OR(B107="NA", ISERROR(B107), ISTEXT(B107)), "Invalid Date", IF(OR(C107=0, E107=0, H107=0, I107=0, J107=0), "Missing Data", "OK")))</f>
        <v>OK</v>
      </c>
      <c r="O107" t="str">
        <f>IFERROR(INDEX(Reps!$B:$B, MATCH(K107, Reps!$A:$A, 0)), "Not Found")</f>
        <v>Karan Mehta</v>
      </c>
      <c r="P107" t="str">
        <f t="shared" si="3"/>
        <v>January</v>
      </c>
    </row>
    <row r="108" spans="1:16" x14ac:dyDescent="0.25">
      <c r="A108" t="s">
        <v>302</v>
      </c>
      <c r="B108" s="10">
        <f>IFERROR(IFERROR(INT(VALUE(Raw_Data!B108)), DATE(RIGHT(TRIM(Raw_Data!B108),4), MID(TRIM(Raw_Data!B108),4,2), LEFT(TRIM(Raw_Data!B108),2))), "NA")</f>
        <v>46041</v>
      </c>
      <c r="C108" s="12" t="s">
        <v>304</v>
      </c>
      <c r="D108" s="12" t="str">
        <f>IF(OR(LOWER(TRIM(Raw_Data!D108))="north",LOWER(TRIM(Raw_Data!D108))="n.",LOWER(SUBSTITUTE(TRIM(Raw_Data!D108)," ",""))="north"),"North",IF(OR(LOWER(TRIM(Raw_Data!D108))="south",LOWER(TRIM(Raw_Data!D108))="s."),"South",IF(OR(LOWER(TRIM(Raw_Data!D108))="east",LOWER(TRIM(Raw_Data!D108))="e."),"East",IF(OR(LOWER(TRIM(Raw_Data!D108))="west",LOWER(TRIM(Raw_Data!D108))="w."),"West",IF(OR(LOWER(TRIM(Raw_Data!D108))="central",LOWER(TRIM(Raw_Data!D108))="c."),"Central","Unknown")))))</f>
        <v>Central</v>
      </c>
      <c r="E108" s="12" t="s">
        <v>111</v>
      </c>
      <c r="F108" s="12" t="s">
        <v>112</v>
      </c>
      <c r="G108" s="12" t="s">
        <v>57</v>
      </c>
      <c r="H108" s="12">
        <f>IFERROR(VALUE(Raw_Data!H108),0)</f>
        <v>7</v>
      </c>
      <c r="I108" s="49">
        <f>IFERROR(VALUE(Raw_Data!I108),0)</f>
        <v>18000</v>
      </c>
      <c r="J108" s="12">
        <f>IFERROR(VALUE(Raw_Data!J108),0)</f>
        <v>0.05</v>
      </c>
      <c r="K108" s="12" t="s">
        <v>43</v>
      </c>
      <c r="L108" s="12" t="str">
        <f>IF(COUNTIF($A$2:A108, A108)&gt;1, "Duplicate", "Valid")</f>
        <v>Valid</v>
      </c>
      <c r="M108" s="50">
        <f t="shared" si="2"/>
        <v>119700</v>
      </c>
      <c r="N108" t="str">
        <f>IF(COUNTIF($A$2:A108, A108)&gt;1, "Duplicate", IF(OR(B108="NA", ISERROR(B108), ISTEXT(B108)), "Invalid Date", IF(OR(C108=0, E108=0, H108=0, I108=0, J108=0), "Missing Data", "OK")))</f>
        <v>OK</v>
      </c>
      <c r="O108" t="str">
        <f>IFERROR(INDEX(Reps!$B:$B, MATCH(K108, Reps!$A:$A, 0)), "Not Found")</f>
        <v>Karan Mehta</v>
      </c>
      <c r="P108" t="str">
        <f t="shared" si="3"/>
        <v>January</v>
      </c>
    </row>
    <row r="109" spans="1:16" x14ac:dyDescent="0.25">
      <c r="A109" t="s">
        <v>305</v>
      </c>
      <c r="B109" s="10">
        <f>IFERROR(IFERROR(INT(VALUE(Raw_Data!B109)), DATE(RIGHT(TRIM(Raw_Data!B109),4), MID(TRIM(Raw_Data!B109),4,2), LEFT(TRIM(Raw_Data!B109),2))), "NA")</f>
        <v>46786</v>
      </c>
      <c r="C109" s="12" t="s">
        <v>230</v>
      </c>
      <c r="D109" s="12" t="str">
        <f>IF(OR(LOWER(TRIM(Raw_Data!D109))="north",LOWER(TRIM(Raw_Data!D109))="n.",LOWER(SUBSTITUTE(TRIM(Raw_Data!D109)," ",""))="north"),"North",IF(OR(LOWER(TRIM(Raw_Data!D109))="south",LOWER(TRIM(Raw_Data!D109))="s."),"South",IF(OR(LOWER(TRIM(Raw_Data!D109))="east",LOWER(TRIM(Raw_Data!D109))="e."),"East",IF(OR(LOWER(TRIM(Raw_Data!D109))="west",LOWER(TRIM(Raw_Data!D109))="w."),"West",IF(OR(LOWER(TRIM(Raw_Data!D109))="central",LOWER(TRIM(Raw_Data!D109))="c."),"Central","Unknown")))))</f>
        <v>Unknown</v>
      </c>
      <c r="E109" s="12" t="s">
        <v>55</v>
      </c>
      <c r="F109" s="12" t="s">
        <v>56</v>
      </c>
      <c r="G109" s="12" t="s">
        <v>57</v>
      </c>
      <c r="H109" s="12">
        <f>IFERROR(VALUE(Raw_Data!H109),0)</f>
        <v>10</v>
      </c>
      <c r="I109" s="49">
        <f>IFERROR(VALUE(Raw_Data!I109),0)</f>
        <v>65000</v>
      </c>
      <c r="J109" s="12">
        <f>IFERROR(VALUE(Raw_Data!J109),0)</f>
        <v>0.15</v>
      </c>
      <c r="K109" s="12" t="s">
        <v>51</v>
      </c>
      <c r="L109" s="12" t="str">
        <f>IF(COUNTIF($A$2:A109, A109)&gt;1, "Duplicate", "Valid")</f>
        <v>Valid</v>
      </c>
      <c r="M109" s="50">
        <f t="shared" si="2"/>
        <v>552500</v>
      </c>
      <c r="N109" t="str">
        <f>IF(COUNTIF($A$2:A109, A109)&gt;1, "Duplicate", IF(OR(B109="NA", ISERROR(B109), ISTEXT(B109)), "Invalid Date", IF(OR(C109=0, E109=0, H109=0, I109=0, J109=0), "Missing Data", "OK")))</f>
        <v>OK</v>
      </c>
      <c r="O109" t="str">
        <f>IFERROR(INDEX(Reps!$B:$B, MATCH(K109, Reps!$A:$A, 0)), "Not Found")</f>
        <v>Priya Iyer</v>
      </c>
      <c r="P109" t="str">
        <f t="shared" si="3"/>
        <v>February</v>
      </c>
    </row>
    <row r="110" spans="1:16" x14ac:dyDescent="0.25">
      <c r="A110" t="s">
        <v>307</v>
      </c>
      <c r="B110" s="10">
        <f>IFERROR(IFERROR(INT(VALUE(Raw_Data!B110)), DATE(RIGHT(TRIM(Raw_Data!B110),4), MID(TRIM(Raw_Data!B110),4,2), LEFT(TRIM(Raw_Data!B110),2))), "NA")</f>
        <v>45973</v>
      </c>
      <c r="C110" s="12" t="s">
        <v>46</v>
      </c>
      <c r="D110" s="12" t="str">
        <f>IF(OR(LOWER(TRIM(Raw_Data!D110))="north",LOWER(TRIM(Raw_Data!D110))="n.",LOWER(SUBSTITUTE(TRIM(Raw_Data!D110)," ",""))="north"),"North",IF(OR(LOWER(TRIM(Raw_Data!D110))="south",LOWER(TRIM(Raw_Data!D110))="s."),"South",IF(OR(LOWER(TRIM(Raw_Data!D110))="east",LOWER(TRIM(Raw_Data!D110))="e."),"East",IF(OR(LOWER(TRIM(Raw_Data!D110))="west",LOWER(TRIM(Raw_Data!D110))="w."),"West",IF(OR(LOWER(TRIM(Raw_Data!D110))="central",LOWER(TRIM(Raw_Data!D110))="c."),"Central","Unknown")))))</f>
        <v>Central</v>
      </c>
      <c r="E110" s="12" t="s">
        <v>135</v>
      </c>
      <c r="F110" s="12" t="s">
        <v>136</v>
      </c>
      <c r="G110" s="12" t="s">
        <v>50</v>
      </c>
      <c r="H110" s="12">
        <f>IFERROR(VALUE(Raw_Data!H110),0)</f>
        <v>11</v>
      </c>
      <c r="I110" s="49">
        <f>IFERROR(VALUE(Raw_Data!I110),0)</f>
        <v>9500</v>
      </c>
      <c r="J110" s="12">
        <f>IFERROR(VALUE(Raw_Data!J110),0)</f>
        <v>0.15</v>
      </c>
      <c r="K110" s="12" t="s">
        <v>43</v>
      </c>
      <c r="L110" s="12" t="str">
        <f>IF(COUNTIF($A$2:A110, A110)&gt;1, "Duplicate", "Valid")</f>
        <v>Valid</v>
      </c>
      <c r="M110" s="50">
        <f t="shared" si="2"/>
        <v>88825</v>
      </c>
      <c r="N110" t="str">
        <f>IF(COUNTIF($A$2:A110, A110)&gt;1, "Duplicate", IF(OR(B110="NA", ISERROR(B110), ISTEXT(B110)), "Invalid Date", IF(OR(C110=0, E110=0, H110=0, I110=0, J110=0), "Missing Data", "OK")))</f>
        <v>OK</v>
      </c>
      <c r="O110" t="str">
        <f>IFERROR(INDEX(Reps!$B:$B, MATCH(K110, Reps!$A:$A, 0)), "Not Found")</f>
        <v>Karan Mehta</v>
      </c>
      <c r="P110" t="str">
        <f t="shared" si="3"/>
        <v>November</v>
      </c>
    </row>
    <row r="111" spans="1:16" x14ac:dyDescent="0.25">
      <c r="A111" t="s">
        <v>309</v>
      </c>
      <c r="B111" s="10">
        <f>IFERROR(IFERROR(INT(VALUE(Raw_Data!B111)), DATE(RIGHT(TRIM(Raw_Data!B111),4), MID(TRIM(Raw_Data!B111),4,2), LEFT(TRIM(Raw_Data!B111),2))), "NA")</f>
        <v>46127</v>
      </c>
      <c r="C111" s="12" t="s">
        <v>68</v>
      </c>
      <c r="D111" s="12" t="str">
        <f>IF(OR(LOWER(TRIM(Raw_Data!D111))="north",LOWER(TRIM(Raw_Data!D111))="n.",LOWER(SUBSTITUTE(TRIM(Raw_Data!D111)," ",""))="north"),"North",IF(OR(LOWER(TRIM(Raw_Data!D111))="south",LOWER(TRIM(Raw_Data!D111))="s."),"South",IF(OR(LOWER(TRIM(Raw_Data!D111))="east",LOWER(TRIM(Raw_Data!D111))="e."),"East",IF(OR(LOWER(TRIM(Raw_Data!D111))="west",LOWER(TRIM(Raw_Data!D111))="w."),"West",IF(OR(LOWER(TRIM(Raw_Data!D111))="central",LOWER(TRIM(Raw_Data!D111))="c."),"Central","Unknown")))))</f>
        <v>East</v>
      </c>
      <c r="E111" s="12" t="s">
        <v>111</v>
      </c>
      <c r="F111" s="12" t="s">
        <v>112</v>
      </c>
      <c r="G111" s="12" t="s">
        <v>57</v>
      </c>
      <c r="H111" s="12">
        <f>IFERROR(VALUE(Raw_Data!H111),0)</f>
        <v>2</v>
      </c>
      <c r="I111" s="49">
        <f>IFERROR(VALUE(Raw_Data!I111),0)</f>
        <v>18000</v>
      </c>
      <c r="J111" s="12">
        <f>IFERROR(VALUE(Raw_Data!J111),0)</f>
        <v>0.2</v>
      </c>
      <c r="K111" s="12" t="s">
        <v>102</v>
      </c>
      <c r="L111" s="12" t="str">
        <f>IF(COUNTIF($A$2:A111, A111)&gt;1, "Duplicate", "Valid")</f>
        <v>Valid</v>
      </c>
      <c r="M111" s="50">
        <f t="shared" si="2"/>
        <v>28800</v>
      </c>
      <c r="N111" t="str">
        <f>IF(COUNTIF($A$2:A111, A111)&gt;1, "Duplicate", IF(OR(B111="NA", ISERROR(B111), ISTEXT(B111)), "Invalid Date", IF(OR(C111=0, E111=0, H111=0, I111=0, J111=0), "Missing Data", "OK")))</f>
        <v>OK</v>
      </c>
      <c r="O111" t="str">
        <f>IFERROR(INDEX(Reps!$B:$B, MATCH(K111, Reps!$A:$A, 0)), "Not Found")</f>
        <v>Anita Sharma</v>
      </c>
      <c r="P111" t="str">
        <f t="shared" si="3"/>
        <v>April</v>
      </c>
    </row>
    <row r="112" spans="1:16" x14ac:dyDescent="0.25">
      <c r="A112" t="s">
        <v>311</v>
      </c>
      <c r="B112" s="10">
        <f>IFERROR(IFERROR(INT(VALUE(Raw_Data!B112)), DATE(RIGHT(TRIM(Raw_Data!B112),4), MID(TRIM(Raw_Data!B112),4,2), LEFT(TRIM(Raw_Data!B112),2))), "NA")</f>
        <v>46060</v>
      </c>
      <c r="C112" s="12" t="s">
        <v>53</v>
      </c>
      <c r="D112" s="12" t="str">
        <f>IF(OR(LOWER(TRIM(Raw_Data!D112))="north",LOWER(TRIM(Raw_Data!D112))="n.",LOWER(SUBSTITUTE(TRIM(Raw_Data!D112)," ",""))="north"),"North",IF(OR(LOWER(TRIM(Raw_Data!D112))="south",LOWER(TRIM(Raw_Data!D112))="s."),"South",IF(OR(LOWER(TRIM(Raw_Data!D112))="east",LOWER(TRIM(Raw_Data!D112))="e."),"East",IF(OR(LOWER(TRIM(Raw_Data!D112))="west",LOWER(TRIM(Raw_Data!D112))="w."),"West",IF(OR(LOWER(TRIM(Raw_Data!D112))="central",LOWER(TRIM(Raw_Data!D112))="c."),"Central","Unknown")))))</f>
        <v>South</v>
      </c>
      <c r="E112" s="12" t="s">
        <v>40</v>
      </c>
      <c r="F112" s="12" t="s">
        <v>41</v>
      </c>
      <c r="G112" s="12" t="s">
        <v>42</v>
      </c>
      <c r="H112" s="12">
        <f>IFERROR(VALUE(Raw_Data!H112),0)</f>
        <v>10</v>
      </c>
      <c r="I112" s="49">
        <f>IFERROR(VALUE(Raw_Data!I112),0)</f>
        <v>450</v>
      </c>
      <c r="J112" s="12">
        <f>IFERROR(VALUE(Raw_Data!J112),0)</f>
        <v>0</v>
      </c>
      <c r="K112" s="12" t="s">
        <v>79</v>
      </c>
      <c r="L112" s="12" t="str">
        <f>IF(COUNTIF($A$2:A112, A112)&gt;1, "Duplicate", "Valid")</f>
        <v>Valid</v>
      </c>
      <c r="M112" s="50">
        <f t="shared" si="2"/>
        <v>4500</v>
      </c>
      <c r="N112" t="str">
        <f>IF(COUNTIF($A$2:A112, A112)&gt;1, "Duplicate", IF(OR(B112="NA", ISERROR(B112), ISTEXT(B112)), "Invalid Date", IF(OR(C112=0, E112=0, H112=0, I112=0, J112=0), "Missing Data", "OK")))</f>
        <v>Missing Data</v>
      </c>
      <c r="O112" t="str">
        <f>IFERROR(INDEX(Reps!$B:$B, MATCH(K112, Reps!$A:$A, 0)), "Not Found")</f>
        <v>Sneha Reddy</v>
      </c>
      <c r="P112" t="str">
        <f t="shared" si="3"/>
        <v>February</v>
      </c>
    </row>
    <row r="113" spans="1:16" x14ac:dyDescent="0.25">
      <c r="A113" t="s">
        <v>313</v>
      </c>
      <c r="B113" s="10">
        <f>IFERROR(IFERROR(INT(VALUE(Raw_Data!B113)), DATE(RIGHT(TRIM(Raw_Data!B113),4), MID(TRIM(Raw_Data!B113),4,2), LEFT(TRIM(Raw_Data!B113),2))), "NA")</f>
        <v>46048</v>
      </c>
      <c r="C113" s="12" t="s">
        <v>314</v>
      </c>
      <c r="D113" s="12" t="str">
        <f>IF(OR(LOWER(TRIM(Raw_Data!D113))="north",LOWER(TRIM(Raw_Data!D113))="n.",LOWER(SUBSTITUTE(TRIM(Raw_Data!D113)," ",""))="north"),"North",IF(OR(LOWER(TRIM(Raw_Data!D113))="south",LOWER(TRIM(Raw_Data!D113))="s."),"South",IF(OR(LOWER(TRIM(Raw_Data!D113))="east",LOWER(TRIM(Raw_Data!D113))="e."),"East",IF(OR(LOWER(TRIM(Raw_Data!D113))="west",LOWER(TRIM(Raw_Data!D113))="w."),"West",IF(OR(LOWER(TRIM(Raw_Data!D113))="central",LOWER(TRIM(Raw_Data!D113))="c."),"Central","Unknown")))))</f>
        <v>South</v>
      </c>
      <c r="E113" s="12" t="s">
        <v>48</v>
      </c>
      <c r="F113" s="12" t="s">
        <v>49</v>
      </c>
      <c r="G113" s="12" t="s">
        <v>50</v>
      </c>
      <c r="H113" s="12">
        <f>IFERROR(VALUE(Raw_Data!H113),0)</f>
        <v>10</v>
      </c>
      <c r="I113" s="49">
        <f>IFERROR(VALUE(Raw_Data!I113),0)</f>
        <v>12000</v>
      </c>
      <c r="J113" s="12">
        <f>IFERROR(VALUE(Raw_Data!J113),0)</f>
        <v>0.25</v>
      </c>
      <c r="K113" s="12" t="s">
        <v>51</v>
      </c>
      <c r="L113" s="12" t="str">
        <f>IF(COUNTIF($A$2:A113, A113)&gt;1, "Duplicate", "Valid")</f>
        <v>Valid</v>
      </c>
      <c r="M113" s="50">
        <f t="shared" si="2"/>
        <v>90000</v>
      </c>
      <c r="N113" t="str">
        <f>IF(COUNTIF($A$2:A113, A113)&gt;1, "Duplicate", IF(OR(B113="NA", ISERROR(B113), ISTEXT(B113)), "Invalid Date", IF(OR(C113=0, E113=0, H113=0, I113=0, J113=0), "Missing Data", "OK")))</f>
        <v>OK</v>
      </c>
      <c r="O113" t="str">
        <f>IFERROR(INDEX(Reps!$B:$B, MATCH(K113, Reps!$A:$A, 0)), "Not Found")</f>
        <v>Priya Iyer</v>
      </c>
      <c r="P113" t="str">
        <f t="shared" si="3"/>
        <v>January</v>
      </c>
    </row>
    <row r="114" spans="1:16" x14ac:dyDescent="0.25">
      <c r="A114" t="s">
        <v>315</v>
      </c>
      <c r="B114" s="10">
        <f>IFERROR(IFERROR(INT(VALUE(Raw_Data!B114)), DATE(RIGHT(TRIM(Raw_Data!B114),4), MID(TRIM(Raw_Data!B114),4,2), LEFT(TRIM(Raw_Data!B114),2))), "NA")</f>
        <v>45987</v>
      </c>
      <c r="C114" s="12" t="s">
        <v>46</v>
      </c>
      <c r="D114" s="12" t="str">
        <f>IF(OR(LOWER(TRIM(Raw_Data!D114))="north",LOWER(TRIM(Raw_Data!D114))="n.",LOWER(SUBSTITUTE(TRIM(Raw_Data!D114)," ",""))="north"),"North",IF(OR(LOWER(TRIM(Raw_Data!D114))="south",LOWER(TRIM(Raw_Data!D114))="s."),"South",IF(OR(LOWER(TRIM(Raw_Data!D114))="east",LOWER(TRIM(Raw_Data!D114))="e."),"East",IF(OR(LOWER(TRIM(Raw_Data!D114))="west",LOWER(TRIM(Raw_Data!D114))="w."),"West",IF(OR(LOWER(TRIM(Raw_Data!D114))="central",LOWER(TRIM(Raw_Data!D114))="c."),"Central","Unknown")))))</f>
        <v>North</v>
      </c>
      <c r="E114" s="12" t="s">
        <v>111</v>
      </c>
      <c r="F114" s="12" t="s">
        <v>112</v>
      </c>
      <c r="G114" s="12" t="s">
        <v>57</v>
      </c>
      <c r="H114" s="12">
        <f>IFERROR(VALUE(Raw_Data!H114),0)</f>
        <v>11</v>
      </c>
      <c r="I114" s="49">
        <f>IFERROR(VALUE(Raw_Data!I114),0)</f>
        <v>18000</v>
      </c>
      <c r="J114" s="12">
        <f>IFERROR(VALUE(Raw_Data!J114),0)</f>
        <v>0.15</v>
      </c>
      <c r="K114" s="12" t="s">
        <v>51</v>
      </c>
      <c r="L114" s="12" t="str">
        <f>IF(COUNTIF($A$2:A114, A114)&gt;1, "Duplicate", "Valid")</f>
        <v>Valid</v>
      </c>
      <c r="M114" s="50">
        <f t="shared" si="2"/>
        <v>168300</v>
      </c>
      <c r="N114" t="str">
        <f>IF(COUNTIF($A$2:A114, A114)&gt;1, "Duplicate", IF(OR(B114="NA", ISERROR(B114), ISTEXT(B114)), "Invalid Date", IF(OR(C114=0, E114=0, H114=0, I114=0, J114=0), "Missing Data", "OK")))</f>
        <v>OK</v>
      </c>
      <c r="O114" t="str">
        <f>IFERROR(INDEX(Reps!$B:$B, MATCH(K114, Reps!$A:$A, 0)), "Not Found")</f>
        <v>Priya Iyer</v>
      </c>
      <c r="P114" t="str">
        <f t="shared" si="3"/>
        <v>November</v>
      </c>
    </row>
    <row r="115" spans="1:16" x14ac:dyDescent="0.25">
      <c r="A115" t="s">
        <v>317</v>
      </c>
      <c r="B115" s="10">
        <f>IFERROR(IFERROR(INT(VALUE(Raw_Data!B115)), DATE(RIGHT(TRIM(Raw_Data!B115),4), MID(TRIM(Raw_Data!B115),4,2), LEFT(TRIM(Raw_Data!B115),2))), "NA")</f>
        <v>46084</v>
      </c>
      <c r="C115" s="12" t="s">
        <v>168</v>
      </c>
      <c r="D115" s="12" t="str">
        <f>IF(OR(LOWER(TRIM(Raw_Data!D115))="north",LOWER(TRIM(Raw_Data!D115))="n.",LOWER(SUBSTITUTE(TRIM(Raw_Data!D115)," ",""))="north"),"North",IF(OR(LOWER(TRIM(Raw_Data!D115))="south",LOWER(TRIM(Raw_Data!D115))="s."),"South",IF(OR(LOWER(TRIM(Raw_Data!D115))="east",LOWER(TRIM(Raw_Data!D115))="e."),"East",IF(OR(LOWER(TRIM(Raw_Data!D115))="west",LOWER(TRIM(Raw_Data!D115))="w."),"West",IF(OR(LOWER(TRIM(Raw_Data!D115))="central",LOWER(TRIM(Raw_Data!D115))="c."),"Central","Unknown")))))</f>
        <v>East</v>
      </c>
      <c r="E115" s="12" t="s">
        <v>120</v>
      </c>
      <c r="F115" s="12" t="s">
        <v>121</v>
      </c>
      <c r="G115" s="12" t="s">
        <v>42</v>
      </c>
      <c r="H115" s="12">
        <f>IFERROR(VALUE(Raw_Data!H115),0)</f>
        <v>10</v>
      </c>
      <c r="I115" s="49">
        <f>IFERROR(VALUE(Raw_Data!I115),0)</f>
        <v>250</v>
      </c>
      <c r="J115" s="12">
        <f>IFERROR(VALUE(Raw_Data!J115),0)</f>
        <v>0</v>
      </c>
      <c r="K115" s="12" t="s">
        <v>51</v>
      </c>
      <c r="L115" s="12" t="str">
        <f>IF(COUNTIF($A$2:A115, A115)&gt;1, "Duplicate", "Valid")</f>
        <v>Valid</v>
      </c>
      <c r="M115" s="50">
        <f t="shared" si="2"/>
        <v>2500</v>
      </c>
      <c r="N115" t="str">
        <f>IF(COUNTIF($A$2:A115, A115)&gt;1, "Duplicate", IF(OR(B115="NA", ISERROR(B115), ISTEXT(B115)), "Invalid Date", IF(OR(C115=0, E115=0, H115=0, I115=0, J115=0), "Missing Data", "OK")))</f>
        <v>Missing Data</v>
      </c>
      <c r="O115" t="str">
        <f>IFERROR(INDEX(Reps!$B:$B, MATCH(K115, Reps!$A:$A, 0)), "Not Found")</f>
        <v>Priya Iyer</v>
      </c>
      <c r="P115" t="str">
        <f t="shared" si="3"/>
        <v>March</v>
      </c>
    </row>
    <row r="116" spans="1:16" x14ac:dyDescent="0.25">
      <c r="A116" t="s">
        <v>319</v>
      </c>
      <c r="B116" s="10">
        <f>IFERROR(IFERROR(INT(VALUE(Raw_Data!B116)), DATE(RIGHT(TRIM(Raw_Data!B116),4), MID(TRIM(Raw_Data!B116),4,2), LEFT(TRIM(Raw_Data!B116),2))), "NA")</f>
        <v>45976</v>
      </c>
      <c r="C116" s="12" t="s">
        <v>165</v>
      </c>
      <c r="D116" s="12" t="str">
        <f>IF(OR(LOWER(TRIM(Raw_Data!D116))="north",LOWER(TRIM(Raw_Data!D116))="n.",LOWER(SUBSTITUTE(TRIM(Raw_Data!D116)," ",""))="north"),"North",IF(OR(LOWER(TRIM(Raw_Data!D116))="south",LOWER(TRIM(Raw_Data!D116))="s."),"South",IF(OR(LOWER(TRIM(Raw_Data!D116))="east",LOWER(TRIM(Raw_Data!D116))="e."),"East",IF(OR(LOWER(TRIM(Raw_Data!D116))="west",LOWER(TRIM(Raw_Data!D116))="w."),"West",IF(OR(LOWER(TRIM(Raw_Data!D116))="central",LOWER(TRIM(Raw_Data!D116))="c."),"Central","Unknown")))))</f>
        <v>Central</v>
      </c>
      <c r="E116" s="12" t="s">
        <v>111</v>
      </c>
      <c r="F116" s="12" t="s">
        <v>112</v>
      </c>
      <c r="G116" s="12" t="s">
        <v>57</v>
      </c>
      <c r="H116" s="12">
        <f>IFERROR(VALUE(Raw_Data!H116),0)</f>
        <v>8</v>
      </c>
      <c r="I116" s="49">
        <f>IFERROR(VALUE(Raw_Data!I116),0)</f>
        <v>18000</v>
      </c>
      <c r="J116" s="12">
        <f>IFERROR(VALUE(Raw_Data!J116),0)</f>
        <v>0.15</v>
      </c>
      <c r="K116" s="12" t="s">
        <v>70</v>
      </c>
      <c r="L116" s="12" t="str">
        <f>IF(COUNTIF($A$2:A116, A116)&gt;1, "Duplicate", "Valid")</f>
        <v>Valid</v>
      </c>
      <c r="M116" s="50">
        <f t="shared" si="2"/>
        <v>122400</v>
      </c>
      <c r="N116" t="str">
        <f>IF(COUNTIF($A$2:A116, A116)&gt;1, "Duplicate", IF(OR(B116="NA", ISERROR(B116), ISTEXT(B116)), "Invalid Date", IF(OR(C116=0, E116=0, H116=0, I116=0, J116=0), "Missing Data", "OK")))</f>
        <v>OK</v>
      </c>
      <c r="O116" t="str">
        <f>IFERROR(INDEX(Reps!$B:$B, MATCH(K116, Reps!$A:$A, 0)), "Not Found")</f>
        <v>Vikram Nair</v>
      </c>
      <c r="P116" t="str">
        <f t="shared" si="3"/>
        <v>November</v>
      </c>
    </row>
    <row r="117" spans="1:16" x14ac:dyDescent="0.25">
      <c r="A117" t="s">
        <v>321</v>
      </c>
      <c r="B117" s="10">
        <f>IFERROR(IFERROR(INT(VALUE(Raw_Data!B117)), DATE(RIGHT(TRIM(Raw_Data!B117),4), MID(TRIM(Raw_Data!B117),4,2), LEFT(TRIM(Raw_Data!B117),2))), "NA")</f>
        <v>46154</v>
      </c>
      <c r="C117" s="12" t="s">
        <v>314</v>
      </c>
      <c r="D117" s="12" t="str">
        <f>IF(OR(LOWER(TRIM(Raw_Data!D117))="north",LOWER(TRIM(Raw_Data!D117))="n.",LOWER(SUBSTITUTE(TRIM(Raw_Data!D117)," ",""))="north"),"North",IF(OR(LOWER(TRIM(Raw_Data!D117))="south",LOWER(TRIM(Raw_Data!D117))="s."),"South",IF(OR(LOWER(TRIM(Raw_Data!D117))="east",LOWER(TRIM(Raw_Data!D117))="e."),"East",IF(OR(LOWER(TRIM(Raw_Data!D117))="west",LOWER(TRIM(Raw_Data!D117))="w."),"West",IF(OR(LOWER(TRIM(Raw_Data!D117))="central",LOWER(TRIM(Raw_Data!D117))="c."),"Central","Unknown")))))</f>
        <v>East</v>
      </c>
      <c r="E117" s="12" t="s">
        <v>127</v>
      </c>
      <c r="F117" s="12" t="s">
        <v>128</v>
      </c>
      <c r="G117" s="12" t="s">
        <v>57</v>
      </c>
      <c r="H117" s="12">
        <f>IFERROR(VALUE(Raw_Data!H117),0)</f>
        <v>3</v>
      </c>
      <c r="I117" s="49">
        <f>IFERROR(VALUE(Raw_Data!I117),0)</f>
        <v>4500</v>
      </c>
      <c r="J117" s="12">
        <f>IFERROR(VALUE(Raw_Data!J117),0)</f>
        <v>0</v>
      </c>
      <c r="K117" s="12" t="s">
        <v>79</v>
      </c>
      <c r="L117" s="12" t="str">
        <f>IF(COUNTIF($A$2:A117, A117)&gt;1, "Duplicate", "Valid")</f>
        <v>Valid</v>
      </c>
      <c r="M117" s="50">
        <f t="shared" si="2"/>
        <v>13500</v>
      </c>
      <c r="N117" t="str">
        <f>IF(COUNTIF($A$2:A117, A117)&gt;1, "Duplicate", IF(OR(B117="NA", ISERROR(B117), ISTEXT(B117)), "Invalid Date", IF(OR(C117=0, E117=0, H117=0, I117=0, J117=0), "Missing Data", "OK")))</f>
        <v>Missing Data</v>
      </c>
      <c r="O117" t="str">
        <f>IFERROR(INDEX(Reps!$B:$B, MATCH(K117, Reps!$A:$A, 0)), "Not Found")</f>
        <v>Sneha Reddy</v>
      </c>
      <c r="P117" t="str">
        <f t="shared" si="3"/>
        <v>May</v>
      </c>
    </row>
    <row r="118" spans="1:16" x14ac:dyDescent="0.25">
      <c r="A118" t="s">
        <v>323</v>
      </c>
      <c r="B118" s="10">
        <f>IFERROR(IFERROR(INT(VALUE(Raw_Data!B118)), DATE(RIGHT(TRIM(Raw_Data!B118),4), MID(TRIM(Raw_Data!B118),4,2), LEFT(TRIM(Raw_Data!B118),2))), "NA")</f>
        <v>46007</v>
      </c>
      <c r="C118" s="12" t="s">
        <v>160</v>
      </c>
      <c r="D118" s="12" t="str">
        <f>IF(OR(LOWER(TRIM(Raw_Data!D118))="north",LOWER(TRIM(Raw_Data!D118))="n.",LOWER(SUBSTITUTE(TRIM(Raw_Data!D118)," ",""))="north"),"North",IF(OR(LOWER(TRIM(Raw_Data!D118))="south",LOWER(TRIM(Raw_Data!D118))="s."),"South",IF(OR(LOWER(TRIM(Raw_Data!D118))="east",LOWER(TRIM(Raw_Data!D118))="e."),"East",IF(OR(LOWER(TRIM(Raw_Data!D118))="west",LOWER(TRIM(Raw_Data!D118))="w."),"West",IF(OR(LOWER(TRIM(Raw_Data!D118))="central",LOWER(TRIM(Raw_Data!D118))="c."),"Central","Unknown")))))</f>
        <v>Central</v>
      </c>
      <c r="E118" s="12" t="s">
        <v>77</v>
      </c>
      <c r="F118" s="12" t="s">
        <v>78</v>
      </c>
      <c r="G118" s="12" t="s">
        <v>57</v>
      </c>
      <c r="H118" s="12">
        <f>IFERROR(VALUE(Raw_Data!H118),0)</f>
        <v>8</v>
      </c>
      <c r="I118" s="49">
        <f>IFERROR(VALUE(Raw_Data!I118),0)</f>
        <v>3500</v>
      </c>
      <c r="J118" s="12">
        <f>IFERROR(VALUE(Raw_Data!J118),0)</f>
        <v>0</v>
      </c>
      <c r="K118" s="12" t="s">
        <v>74</v>
      </c>
      <c r="L118" s="12" t="str">
        <f>IF(COUNTIF($A$2:A118, A118)&gt;1, "Duplicate", "Valid")</f>
        <v>Valid</v>
      </c>
      <c r="M118" s="50">
        <f t="shared" si="2"/>
        <v>28000</v>
      </c>
      <c r="N118" t="str">
        <f>IF(COUNTIF($A$2:A118, A118)&gt;1, "Duplicate", IF(OR(B118="NA", ISERROR(B118), ISTEXT(B118)), "Invalid Date", IF(OR(C118=0, E118=0, H118=0, I118=0, J118=0), "Missing Data", "OK")))</f>
        <v>Missing Data</v>
      </c>
      <c r="O118" t="str">
        <f>IFERROR(INDEX(Reps!$B:$B, MATCH(K118, Reps!$A:$A, 0)), "Not Found")</f>
        <v>Rahul Verma</v>
      </c>
      <c r="P118" t="str">
        <f t="shared" si="3"/>
        <v>December</v>
      </c>
    </row>
    <row r="119" spans="1:16" x14ac:dyDescent="0.25">
      <c r="A119" t="s">
        <v>324</v>
      </c>
      <c r="B119" s="10">
        <f>IFERROR(IFERROR(INT(VALUE(Raw_Data!B119)), DATE(RIGHT(TRIM(Raw_Data!B119),4), MID(TRIM(Raw_Data!B119),4,2), LEFT(TRIM(Raw_Data!B119),2))), "NA")</f>
        <v>45962</v>
      </c>
      <c r="C119" s="12" t="s">
        <v>53</v>
      </c>
      <c r="D119" s="12" t="str">
        <f>IF(OR(LOWER(TRIM(Raw_Data!D119))="north",LOWER(TRIM(Raw_Data!D119))="n.",LOWER(SUBSTITUTE(TRIM(Raw_Data!D119)," ",""))="north"),"North",IF(OR(LOWER(TRIM(Raw_Data!D119))="south",LOWER(TRIM(Raw_Data!D119))="s."),"South",IF(OR(LOWER(TRIM(Raw_Data!D119))="east",LOWER(TRIM(Raw_Data!D119))="e."),"East",IF(OR(LOWER(TRIM(Raw_Data!D119))="west",LOWER(TRIM(Raw_Data!D119))="w."),"West",IF(OR(LOWER(TRIM(Raw_Data!D119))="central",LOWER(TRIM(Raw_Data!D119))="c."),"Central","Unknown")))))</f>
        <v>Central</v>
      </c>
      <c r="E119" s="12" t="s">
        <v>111</v>
      </c>
      <c r="F119" s="12" t="s">
        <v>112</v>
      </c>
      <c r="G119" s="12" t="s">
        <v>57</v>
      </c>
      <c r="H119" s="12">
        <f>IFERROR(VALUE(Raw_Data!H119),0)</f>
        <v>3</v>
      </c>
      <c r="I119" s="49">
        <f>IFERROR(VALUE(Raw_Data!I119),0)</f>
        <v>18000</v>
      </c>
      <c r="J119" s="12">
        <f>IFERROR(VALUE(Raw_Data!J119),0)</f>
        <v>0.05</v>
      </c>
      <c r="K119" s="12" t="s">
        <v>79</v>
      </c>
      <c r="L119" s="12" t="str">
        <f>IF(COUNTIF($A$2:A119, A119)&gt;1, "Duplicate", "Valid")</f>
        <v>Valid</v>
      </c>
      <c r="M119" s="50">
        <f t="shared" si="2"/>
        <v>51300</v>
      </c>
      <c r="N119" t="str">
        <f>IF(COUNTIF($A$2:A119, A119)&gt;1, "Duplicate", IF(OR(B119="NA", ISERROR(B119), ISTEXT(B119)), "Invalid Date", IF(OR(C119=0, E119=0, H119=0, I119=0, J119=0), "Missing Data", "OK")))</f>
        <v>OK</v>
      </c>
      <c r="O119" t="str">
        <f>IFERROR(INDEX(Reps!$B:$B, MATCH(K119, Reps!$A:$A, 0)), "Not Found")</f>
        <v>Sneha Reddy</v>
      </c>
      <c r="P119" t="str">
        <f t="shared" si="3"/>
        <v>November</v>
      </c>
    </row>
    <row r="120" spans="1:16" x14ac:dyDescent="0.25">
      <c r="A120" t="s">
        <v>324</v>
      </c>
      <c r="B120" s="10">
        <f>IFERROR(IFERROR(INT(VALUE(Raw_Data!B120)), DATE(RIGHT(TRIM(Raw_Data!B120),4), MID(TRIM(Raw_Data!B120),4,2), LEFT(TRIM(Raw_Data!B120),2))), "NA")</f>
        <v>45962</v>
      </c>
      <c r="C120" s="12" t="s">
        <v>53</v>
      </c>
      <c r="D120" s="12" t="str">
        <f>IF(OR(LOWER(TRIM(Raw_Data!D120))="north",LOWER(TRIM(Raw_Data!D120))="n.",LOWER(SUBSTITUTE(TRIM(Raw_Data!D120)," ",""))="north"),"North",IF(OR(LOWER(TRIM(Raw_Data!D120))="south",LOWER(TRIM(Raw_Data!D120))="s."),"South",IF(OR(LOWER(TRIM(Raw_Data!D120))="east",LOWER(TRIM(Raw_Data!D120))="e."),"East",IF(OR(LOWER(TRIM(Raw_Data!D120))="west",LOWER(TRIM(Raw_Data!D120))="w."),"West",IF(OR(LOWER(TRIM(Raw_Data!D120))="central",LOWER(TRIM(Raw_Data!D120))="c."),"Central","Unknown")))))</f>
        <v>Central</v>
      </c>
      <c r="E120" s="12" t="s">
        <v>111</v>
      </c>
      <c r="F120" s="12" t="s">
        <v>112</v>
      </c>
      <c r="G120" s="12" t="s">
        <v>57</v>
      </c>
      <c r="H120" s="12">
        <f>IFERROR(VALUE(Raw_Data!H120),0)</f>
        <v>3</v>
      </c>
      <c r="I120" s="49">
        <f>IFERROR(VALUE(Raw_Data!I120),0)</f>
        <v>18000</v>
      </c>
      <c r="J120" s="12">
        <f>IFERROR(VALUE(Raw_Data!J120),0)</f>
        <v>0.05</v>
      </c>
      <c r="K120" s="12" t="s">
        <v>79</v>
      </c>
      <c r="L120" s="12" t="str">
        <f>IF(COUNTIF($A$2:A120, A120)&gt;1, "Duplicate", "Valid")</f>
        <v>Duplicate</v>
      </c>
      <c r="M120" s="50">
        <f t="shared" si="2"/>
        <v>51300</v>
      </c>
      <c r="N120" t="str">
        <f>IF(COUNTIF($A$2:A120, A120)&gt;1, "Duplicate", IF(OR(B120="NA", ISERROR(B120), ISTEXT(B120)), "Invalid Date", IF(OR(C120=0, E120=0, H120=0, I120=0, J120=0), "Missing Data", "OK")))</f>
        <v>Duplicate</v>
      </c>
      <c r="O120" t="str">
        <f>IFERROR(INDEX(Reps!$B:$B, MATCH(K120, Reps!$A:$A, 0)), "Not Found")</f>
        <v>Sneha Reddy</v>
      </c>
      <c r="P120" t="str">
        <f t="shared" si="3"/>
        <v>November</v>
      </c>
    </row>
    <row r="121" spans="1:16" x14ac:dyDescent="0.25">
      <c r="A121" t="s">
        <v>325</v>
      </c>
      <c r="B121" s="10">
        <f>IFERROR(IFERROR(INT(VALUE(Raw_Data!B121)), DATE(RIGHT(TRIM(Raw_Data!B121),4), MID(TRIM(Raw_Data!B121),4,2), LEFT(TRIM(Raw_Data!B121),2))), "NA")</f>
        <v>46118</v>
      </c>
      <c r="C121" s="12" t="s">
        <v>68</v>
      </c>
      <c r="D121" s="12" t="str">
        <f>IF(OR(LOWER(TRIM(Raw_Data!D121))="north",LOWER(TRIM(Raw_Data!D121))="n.",LOWER(SUBSTITUTE(TRIM(Raw_Data!D121)," ",""))="north"),"North",IF(OR(LOWER(TRIM(Raw_Data!D121))="south",LOWER(TRIM(Raw_Data!D121))="s."),"South",IF(OR(LOWER(TRIM(Raw_Data!D121))="east",LOWER(TRIM(Raw_Data!D121))="e."),"East",IF(OR(LOWER(TRIM(Raw_Data!D121))="west",LOWER(TRIM(Raw_Data!D121))="w."),"West",IF(OR(LOWER(TRIM(Raw_Data!D121))="central",LOWER(TRIM(Raw_Data!D121))="c."),"Central","Unknown")))))</f>
        <v>West</v>
      </c>
      <c r="E121" s="12" t="s">
        <v>89</v>
      </c>
      <c r="F121" s="12" t="s">
        <v>90</v>
      </c>
      <c r="G121" s="12" t="s">
        <v>91</v>
      </c>
      <c r="H121" s="12">
        <f>IFERROR(VALUE(Raw_Data!H121),0)</f>
        <v>4</v>
      </c>
      <c r="I121" s="49">
        <f>IFERROR(VALUE(Raw_Data!I121),0)</f>
        <v>2200</v>
      </c>
      <c r="J121" s="12">
        <f>IFERROR(VALUE(Raw_Data!J121),0)</f>
        <v>0.1</v>
      </c>
      <c r="K121" s="12" t="s">
        <v>70</v>
      </c>
      <c r="L121" s="12" t="str">
        <f>IF(COUNTIF($A$2:A121, A121)&gt;1, "Duplicate", "Valid")</f>
        <v>Valid</v>
      </c>
      <c r="M121" s="50">
        <f t="shared" si="2"/>
        <v>7920</v>
      </c>
      <c r="N121" t="str">
        <f>IF(COUNTIF($A$2:A121, A121)&gt;1, "Duplicate", IF(OR(B121="NA", ISERROR(B121), ISTEXT(B121)), "Invalid Date", IF(OR(C121=0, E121=0, H121=0, I121=0, J121=0), "Missing Data", "OK")))</f>
        <v>OK</v>
      </c>
      <c r="O121" t="str">
        <f>IFERROR(INDEX(Reps!$B:$B, MATCH(K121, Reps!$A:$A, 0)), "Not Found")</f>
        <v>Vikram Nair</v>
      </c>
      <c r="P121" t="str">
        <f t="shared" si="3"/>
        <v>April</v>
      </c>
    </row>
    <row r="122" spans="1:16" x14ac:dyDescent="0.25">
      <c r="A122" t="s">
        <v>327</v>
      </c>
      <c r="B122" s="10">
        <f>IFERROR(IFERROR(INT(VALUE(Raw_Data!B122)), DATE(RIGHT(TRIM(Raw_Data!B122),4), MID(TRIM(Raw_Data!B122),4,2), LEFT(TRIM(Raw_Data!B122),2))), "NA")</f>
        <v>45964</v>
      </c>
      <c r="C122" s="12" t="s">
        <v>64</v>
      </c>
      <c r="D122" s="12" t="str">
        <f>IF(OR(LOWER(TRIM(Raw_Data!D122))="north",LOWER(TRIM(Raw_Data!D122))="n.",LOWER(SUBSTITUTE(TRIM(Raw_Data!D122)," ",""))="north"),"North",IF(OR(LOWER(TRIM(Raw_Data!D122))="south",LOWER(TRIM(Raw_Data!D122))="s."),"South",IF(OR(LOWER(TRIM(Raw_Data!D122))="east",LOWER(TRIM(Raw_Data!D122))="e."),"East",IF(OR(LOWER(TRIM(Raw_Data!D122))="west",LOWER(TRIM(Raw_Data!D122))="w."),"West",IF(OR(LOWER(TRIM(Raw_Data!D122))="central",LOWER(TRIM(Raw_Data!D122))="c."),"Central","Unknown")))))</f>
        <v>North</v>
      </c>
      <c r="E122" s="12" t="s">
        <v>135</v>
      </c>
      <c r="F122" s="12" t="s">
        <v>136</v>
      </c>
      <c r="G122" s="12" t="s">
        <v>50</v>
      </c>
      <c r="H122" s="12">
        <f>IFERROR(VALUE(Raw_Data!H122),0)</f>
        <v>1</v>
      </c>
      <c r="I122" s="49">
        <f>IFERROR(VALUE(Raw_Data!I122),0)</f>
        <v>9500</v>
      </c>
      <c r="J122" s="12">
        <f>IFERROR(VALUE(Raw_Data!J122),0)</f>
        <v>0</v>
      </c>
      <c r="K122" s="12" t="s">
        <v>74</v>
      </c>
      <c r="L122" s="12" t="str">
        <f>IF(COUNTIF($A$2:A122, A122)&gt;1, "Duplicate", "Valid")</f>
        <v>Valid</v>
      </c>
      <c r="M122" s="50">
        <f t="shared" si="2"/>
        <v>9500</v>
      </c>
      <c r="N122" t="str">
        <f>IF(COUNTIF($A$2:A122, A122)&gt;1, "Duplicate", IF(OR(B122="NA", ISERROR(B122), ISTEXT(B122)), "Invalid Date", IF(OR(C122=0, E122=0, H122=0, I122=0, J122=0), "Missing Data", "OK")))</f>
        <v>Missing Data</v>
      </c>
      <c r="O122" t="str">
        <f>IFERROR(INDEX(Reps!$B:$B, MATCH(K122, Reps!$A:$A, 0)), "Not Found")</f>
        <v>Rahul Verma</v>
      </c>
      <c r="P122" t="str">
        <f t="shared" si="3"/>
        <v>November</v>
      </c>
    </row>
    <row r="123" spans="1:16" x14ac:dyDescent="0.25">
      <c r="A123" t="s">
        <v>329</v>
      </c>
      <c r="B123" s="10">
        <f>IFERROR(IFERROR(INT(VALUE(Raw_Data!B123)), DATE(RIGHT(TRIM(Raw_Data!B123),4), MID(TRIM(Raw_Data!B123),4,2), LEFT(TRIM(Raw_Data!B123),2))), "NA")</f>
        <v>45989</v>
      </c>
      <c r="C123" s="12" t="s">
        <v>38</v>
      </c>
      <c r="D123" s="12" t="str">
        <f>IF(OR(LOWER(TRIM(Raw_Data!D123))="north",LOWER(TRIM(Raw_Data!D123))="n.",LOWER(SUBSTITUTE(TRIM(Raw_Data!D123)," ",""))="north"),"North",IF(OR(LOWER(TRIM(Raw_Data!D123))="south",LOWER(TRIM(Raw_Data!D123))="s."),"South",IF(OR(LOWER(TRIM(Raw_Data!D123))="east",LOWER(TRIM(Raw_Data!D123))="e."),"East",IF(OR(LOWER(TRIM(Raw_Data!D123))="west",LOWER(TRIM(Raw_Data!D123))="w."),"West",IF(OR(LOWER(TRIM(Raw_Data!D123))="central",LOWER(TRIM(Raw_Data!D123))="c."),"Central","Unknown")))))</f>
        <v>East</v>
      </c>
      <c r="E123" s="12" t="s">
        <v>111</v>
      </c>
      <c r="F123" s="12" t="s">
        <v>112</v>
      </c>
      <c r="G123" s="12" t="s">
        <v>57</v>
      </c>
      <c r="H123" s="12">
        <f>IFERROR(VALUE(Raw_Data!H123),0)</f>
        <v>10</v>
      </c>
      <c r="I123" s="49">
        <f>IFERROR(VALUE(Raw_Data!I123),0)</f>
        <v>18000</v>
      </c>
      <c r="J123" s="12">
        <f>IFERROR(VALUE(Raw_Data!J123),0)</f>
        <v>0.1</v>
      </c>
      <c r="K123" s="12" t="s">
        <v>51</v>
      </c>
      <c r="L123" s="12" t="str">
        <f>IF(COUNTIF($A$2:A123, A123)&gt;1, "Duplicate", "Valid")</f>
        <v>Valid</v>
      </c>
      <c r="M123" s="50">
        <f t="shared" si="2"/>
        <v>162000</v>
      </c>
      <c r="N123" t="str">
        <f>IF(COUNTIF($A$2:A123, A123)&gt;1, "Duplicate", IF(OR(B123="NA", ISERROR(B123), ISTEXT(B123)), "Invalid Date", IF(OR(C123=0, E123=0, H123=0, I123=0, J123=0), "Missing Data", "OK")))</f>
        <v>OK</v>
      </c>
      <c r="O123" t="str">
        <f>IFERROR(INDEX(Reps!$B:$B, MATCH(K123, Reps!$A:$A, 0)), "Not Found")</f>
        <v>Priya Iyer</v>
      </c>
      <c r="P123" t="str">
        <f t="shared" si="3"/>
        <v>November</v>
      </c>
    </row>
    <row r="124" spans="1:16" x14ac:dyDescent="0.25">
      <c r="A124" t="s">
        <v>330</v>
      </c>
      <c r="B124" s="10">
        <f>IFERROR(IFERROR(INT(VALUE(Raw_Data!B124)), DATE(RIGHT(TRIM(Raw_Data!B124),4), MID(TRIM(Raw_Data!B124),4,2), LEFT(TRIM(Raw_Data!B124),2))), "NA")</f>
        <v>46367</v>
      </c>
      <c r="C124" s="12" t="s">
        <v>151</v>
      </c>
      <c r="D124" s="12" t="str">
        <f>IF(OR(LOWER(TRIM(Raw_Data!D124))="north",LOWER(TRIM(Raw_Data!D124))="n.",LOWER(SUBSTITUTE(TRIM(Raw_Data!D124)," ",""))="north"),"North",IF(OR(LOWER(TRIM(Raw_Data!D124))="south",LOWER(TRIM(Raw_Data!D124))="s."),"South",IF(OR(LOWER(TRIM(Raw_Data!D124))="east",LOWER(TRIM(Raw_Data!D124))="e."),"East",IF(OR(LOWER(TRIM(Raw_Data!D124))="west",LOWER(TRIM(Raw_Data!D124))="w."),"West",IF(OR(LOWER(TRIM(Raw_Data!D124))="central",LOWER(TRIM(Raw_Data!D124))="c."),"Central","Unknown")))))</f>
        <v>South</v>
      </c>
      <c r="E124" s="12" t="s">
        <v>98</v>
      </c>
      <c r="F124" s="12" t="s">
        <v>99</v>
      </c>
      <c r="G124" s="12" t="s">
        <v>50</v>
      </c>
      <c r="H124" s="12">
        <f>IFERROR(VALUE(Raw_Data!H124),0)</f>
        <v>3</v>
      </c>
      <c r="I124" s="49">
        <f>IFERROR(VALUE(Raw_Data!I124),0)</f>
        <v>0</v>
      </c>
      <c r="J124" s="12">
        <f>IFERROR(VALUE(Raw_Data!J124),0)</f>
        <v>0</v>
      </c>
      <c r="K124" s="12" t="s">
        <v>43</v>
      </c>
      <c r="L124" s="12" t="str">
        <f>IF(COUNTIF($A$2:A124, A124)&gt;1, "Duplicate", "Valid")</f>
        <v>Valid</v>
      </c>
      <c r="M124" s="50">
        <f t="shared" si="2"/>
        <v>0</v>
      </c>
      <c r="N124" t="str">
        <f>IF(COUNTIF($A$2:A124, A124)&gt;1, "Duplicate", IF(OR(B124="NA", ISERROR(B124), ISTEXT(B124)), "Invalid Date", IF(OR(C124=0, E124=0, H124=0, I124=0, J124=0), "Missing Data", "OK")))</f>
        <v>Missing Data</v>
      </c>
      <c r="O124" t="str">
        <f>IFERROR(INDEX(Reps!$B:$B, MATCH(K124, Reps!$A:$A, 0)), "Not Found")</f>
        <v>Karan Mehta</v>
      </c>
      <c r="P124" t="str">
        <f t="shared" si="3"/>
        <v>December</v>
      </c>
    </row>
    <row r="125" spans="1:16" x14ac:dyDescent="0.25">
      <c r="A125" t="s">
        <v>332</v>
      </c>
      <c r="B125" s="10">
        <f>IFERROR(IFERROR(INT(VALUE(Raw_Data!B125)), DATE(RIGHT(TRIM(Raw_Data!B125),4), MID(TRIM(Raw_Data!B125),4,2), LEFT(TRIM(Raw_Data!B125),2))), "NA")</f>
        <v>45962</v>
      </c>
      <c r="C125" s="12" t="s">
        <v>144</v>
      </c>
      <c r="D125" s="12" t="str">
        <f>IF(OR(LOWER(TRIM(Raw_Data!D125))="north",LOWER(TRIM(Raw_Data!D125))="n.",LOWER(SUBSTITUTE(TRIM(Raw_Data!D125)," ",""))="north"),"North",IF(OR(LOWER(TRIM(Raw_Data!D125))="south",LOWER(TRIM(Raw_Data!D125))="s."),"South",IF(OR(LOWER(TRIM(Raw_Data!D125))="east",LOWER(TRIM(Raw_Data!D125))="e."),"East",IF(OR(LOWER(TRIM(Raw_Data!D125))="west",LOWER(TRIM(Raw_Data!D125))="w."),"West",IF(OR(LOWER(TRIM(Raw_Data!D125))="central",LOWER(TRIM(Raw_Data!D125))="c."),"Central","Unknown")))))</f>
        <v>North</v>
      </c>
      <c r="E125" s="12" t="s">
        <v>98</v>
      </c>
      <c r="F125" s="12" t="s">
        <v>99</v>
      </c>
      <c r="G125" s="12" t="s">
        <v>50</v>
      </c>
      <c r="H125" s="12">
        <f>IFERROR(VALUE(Raw_Data!H125),0)</f>
        <v>9</v>
      </c>
      <c r="I125" s="49">
        <f>IFERROR(VALUE(Raw_Data!I125),0)</f>
        <v>28000</v>
      </c>
      <c r="J125" s="12">
        <f>IFERROR(VALUE(Raw_Data!J125),0)</f>
        <v>0.05</v>
      </c>
      <c r="K125" s="12" t="s">
        <v>74</v>
      </c>
      <c r="L125" s="12" t="str">
        <f>IF(COUNTIF($A$2:A125, A125)&gt;1, "Duplicate", "Valid")</f>
        <v>Valid</v>
      </c>
      <c r="M125" s="50">
        <f t="shared" si="2"/>
        <v>239400</v>
      </c>
      <c r="N125" t="str">
        <f>IF(COUNTIF($A$2:A125, A125)&gt;1, "Duplicate", IF(OR(B125="NA", ISERROR(B125), ISTEXT(B125)), "Invalid Date", IF(OR(C125=0, E125=0, H125=0, I125=0, J125=0), "Missing Data", "OK")))</f>
        <v>OK</v>
      </c>
      <c r="O125" t="str">
        <f>IFERROR(INDEX(Reps!$B:$B, MATCH(K125, Reps!$A:$A, 0)), "Not Found")</f>
        <v>Rahul Verma</v>
      </c>
      <c r="P125" t="str">
        <f t="shared" si="3"/>
        <v>November</v>
      </c>
    </row>
    <row r="126" spans="1:16" x14ac:dyDescent="0.25">
      <c r="A126" t="s">
        <v>334</v>
      </c>
      <c r="B126" s="10">
        <f>IFERROR(IFERROR(INT(VALUE(Raw_Data!B126)), DATE(RIGHT(TRIM(Raw_Data!B126),4), MID(TRIM(Raw_Data!B126),4,2), LEFT(TRIM(Raw_Data!B126),2))), "NA")</f>
        <v>46068</v>
      </c>
      <c r="C126" s="12" t="s">
        <v>168</v>
      </c>
      <c r="D126" s="12" t="str">
        <f>IF(OR(LOWER(TRIM(Raw_Data!D126))="north",LOWER(TRIM(Raw_Data!D126))="n.",LOWER(SUBSTITUTE(TRIM(Raw_Data!D126)," ",""))="north"),"North",IF(OR(LOWER(TRIM(Raw_Data!D126))="south",LOWER(TRIM(Raw_Data!D126))="s."),"South",IF(OR(LOWER(TRIM(Raw_Data!D126))="east",LOWER(TRIM(Raw_Data!D126))="e."),"East",IF(OR(LOWER(TRIM(Raw_Data!D126))="west",LOWER(TRIM(Raw_Data!D126))="w."),"West",IF(OR(LOWER(TRIM(Raw_Data!D126))="central",LOWER(TRIM(Raw_Data!D126))="c."),"Central","Unknown")))))</f>
        <v>South</v>
      </c>
      <c r="E126" s="12" t="s">
        <v>98</v>
      </c>
      <c r="F126" s="12" t="s">
        <v>99</v>
      </c>
      <c r="G126" s="12" t="s">
        <v>50</v>
      </c>
      <c r="H126" s="12">
        <f>IFERROR(VALUE(Raw_Data!H126),0)</f>
        <v>11</v>
      </c>
      <c r="I126" s="49">
        <f>IFERROR(VALUE(Raw_Data!I126),0)</f>
        <v>28000</v>
      </c>
      <c r="J126" s="12">
        <f>IFERROR(VALUE(Raw_Data!J126),0)</f>
        <v>0</v>
      </c>
      <c r="K126" s="12" t="s">
        <v>43</v>
      </c>
      <c r="L126" s="12" t="str">
        <f>IF(COUNTIF($A$2:A126, A126)&gt;1, "Duplicate", "Valid")</f>
        <v>Valid</v>
      </c>
      <c r="M126" s="50">
        <f t="shared" si="2"/>
        <v>308000</v>
      </c>
      <c r="N126" t="str">
        <f>IF(COUNTIF($A$2:A126, A126)&gt;1, "Duplicate", IF(OR(B126="NA", ISERROR(B126), ISTEXT(B126)), "Invalid Date", IF(OR(C126=0, E126=0, H126=0, I126=0, J126=0), "Missing Data", "OK")))</f>
        <v>Missing Data</v>
      </c>
      <c r="O126" t="str">
        <f>IFERROR(INDEX(Reps!$B:$B, MATCH(K126, Reps!$A:$A, 0)), "Not Found")</f>
        <v>Karan Mehta</v>
      </c>
      <c r="P126" t="str">
        <f t="shared" si="3"/>
        <v>February</v>
      </c>
    </row>
    <row r="127" spans="1:16" x14ac:dyDescent="0.25">
      <c r="A127" t="s">
        <v>336</v>
      </c>
      <c r="B127" s="10">
        <f>IFERROR(IFERROR(INT(VALUE(Raw_Data!B127)), DATE(RIGHT(TRIM(Raw_Data!B127),4), MID(TRIM(Raw_Data!B127),4,2), LEFT(TRIM(Raw_Data!B127),2))), "NA")</f>
        <v>45979</v>
      </c>
      <c r="C127" s="12" t="s">
        <v>109</v>
      </c>
      <c r="D127" s="12" t="str">
        <f>IF(OR(LOWER(TRIM(Raw_Data!D127))="north",LOWER(TRIM(Raw_Data!D127))="n.",LOWER(SUBSTITUTE(TRIM(Raw_Data!D127)," ",""))="north"),"North",IF(OR(LOWER(TRIM(Raw_Data!D127))="south",LOWER(TRIM(Raw_Data!D127))="s."),"South",IF(OR(LOWER(TRIM(Raw_Data!D127))="east",LOWER(TRIM(Raw_Data!D127))="e."),"East",IF(OR(LOWER(TRIM(Raw_Data!D127))="west",LOWER(TRIM(Raw_Data!D127))="w."),"West",IF(OR(LOWER(TRIM(Raw_Data!D127))="central",LOWER(TRIM(Raw_Data!D127))="c."),"Central","Unknown")))))</f>
        <v>East</v>
      </c>
      <c r="E127" s="12" t="s">
        <v>111</v>
      </c>
      <c r="F127" s="12" t="s">
        <v>112</v>
      </c>
      <c r="G127" s="12" t="s">
        <v>57</v>
      </c>
      <c r="H127" s="12">
        <f>IFERROR(VALUE(Raw_Data!H127),0)</f>
        <v>3</v>
      </c>
      <c r="I127" s="49">
        <f>IFERROR(VALUE(Raw_Data!I127),0)</f>
        <v>18000</v>
      </c>
      <c r="J127" s="12">
        <f>IFERROR(VALUE(Raw_Data!J127),0)</f>
        <v>0.2</v>
      </c>
      <c r="K127" s="12" t="s">
        <v>51</v>
      </c>
      <c r="L127" s="12" t="str">
        <f>IF(COUNTIF($A$2:A127, A127)&gt;1, "Duplicate", "Valid")</f>
        <v>Valid</v>
      </c>
      <c r="M127" s="50">
        <f t="shared" si="2"/>
        <v>43200</v>
      </c>
      <c r="N127" t="str">
        <f>IF(COUNTIF($A$2:A127, A127)&gt;1, "Duplicate", IF(OR(B127="NA", ISERROR(B127), ISTEXT(B127)), "Invalid Date", IF(OR(C127=0, E127=0, H127=0, I127=0, J127=0), "Missing Data", "OK")))</f>
        <v>OK</v>
      </c>
      <c r="O127" t="str">
        <f>IFERROR(INDEX(Reps!$B:$B, MATCH(K127, Reps!$A:$A, 0)), "Not Found")</f>
        <v>Priya Iyer</v>
      </c>
      <c r="P127" t="str">
        <f t="shared" si="3"/>
        <v>November</v>
      </c>
    </row>
    <row r="128" spans="1:16" x14ac:dyDescent="0.25">
      <c r="A128" t="s">
        <v>338</v>
      </c>
      <c r="B128" s="10">
        <f>IFERROR(IFERROR(INT(VALUE(Raw_Data!B128)), DATE(RIGHT(TRIM(Raw_Data!B128),4), MID(TRIM(Raw_Data!B128),4,2), LEFT(TRIM(Raw_Data!B128),2))), "NA")</f>
        <v>46013</v>
      </c>
      <c r="C128" s="12" t="s">
        <v>181</v>
      </c>
      <c r="D128" s="12" t="str">
        <f>IF(OR(LOWER(TRIM(Raw_Data!D128))="north",LOWER(TRIM(Raw_Data!D128))="n.",LOWER(SUBSTITUTE(TRIM(Raw_Data!D128)," ",""))="north"),"North",IF(OR(LOWER(TRIM(Raw_Data!D128))="south",LOWER(TRIM(Raw_Data!D128))="s."),"South",IF(OR(LOWER(TRIM(Raw_Data!D128))="east",LOWER(TRIM(Raw_Data!D128))="e."),"East",IF(OR(LOWER(TRIM(Raw_Data!D128))="west",LOWER(TRIM(Raw_Data!D128))="w."),"West",IF(OR(LOWER(TRIM(Raw_Data!D128))="central",LOWER(TRIM(Raw_Data!D128))="c."),"Central","Unknown")))))</f>
        <v>East</v>
      </c>
      <c r="E128" s="12" t="s">
        <v>135</v>
      </c>
      <c r="F128" s="12" t="s">
        <v>136</v>
      </c>
      <c r="G128" s="12" t="s">
        <v>50</v>
      </c>
      <c r="H128" s="12">
        <f>IFERROR(VALUE(Raw_Data!H128),0)</f>
        <v>7</v>
      </c>
      <c r="I128" s="49">
        <f>IFERROR(VALUE(Raw_Data!I128),0)</f>
        <v>9500</v>
      </c>
      <c r="J128" s="12">
        <f>IFERROR(VALUE(Raw_Data!J128),0)</f>
        <v>0</v>
      </c>
      <c r="K128" s="12" t="s">
        <v>70</v>
      </c>
      <c r="L128" s="12" t="str">
        <f>IF(COUNTIF($A$2:A128, A128)&gt;1, "Duplicate", "Valid")</f>
        <v>Valid</v>
      </c>
      <c r="M128" s="50">
        <f t="shared" si="2"/>
        <v>66500</v>
      </c>
      <c r="N128" t="str">
        <f>IF(COUNTIF($A$2:A128, A128)&gt;1, "Duplicate", IF(OR(B128="NA", ISERROR(B128), ISTEXT(B128)), "Invalid Date", IF(OR(C128=0, E128=0, H128=0, I128=0, J128=0), "Missing Data", "OK")))</f>
        <v>Missing Data</v>
      </c>
      <c r="O128" t="str">
        <f>IFERROR(INDEX(Reps!$B:$B, MATCH(K128, Reps!$A:$A, 0)), "Not Found")</f>
        <v>Vikram Nair</v>
      </c>
      <c r="P128" t="str">
        <f t="shared" si="3"/>
        <v>December</v>
      </c>
    </row>
    <row r="129" spans="1:16" x14ac:dyDescent="0.25">
      <c r="A129" t="s">
        <v>340</v>
      </c>
      <c r="B129" s="10">
        <f>IFERROR(IFERROR(INT(VALUE(Raw_Data!B129)), DATE(RIGHT(TRIM(Raw_Data!B129),4), MID(TRIM(Raw_Data!B129),4,2), LEFT(TRIM(Raw_Data!B129),2))), "NA")</f>
        <v>46026</v>
      </c>
      <c r="C129" s="12" t="s">
        <v>76</v>
      </c>
      <c r="D129" s="12" t="str">
        <f>IF(OR(LOWER(TRIM(Raw_Data!D129))="north",LOWER(TRIM(Raw_Data!D129))="n.",LOWER(SUBSTITUTE(TRIM(Raw_Data!D129)," ",""))="north"),"North",IF(OR(LOWER(TRIM(Raw_Data!D129))="south",LOWER(TRIM(Raw_Data!D129))="s."),"South",IF(OR(LOWER(TRIM(Raw_Data!D129))="east",LOWER(TRIM(Raw_Data!D129))="e."),"East",IF(OR(LOWER(TRIM(Raw_Data!D129))="west",LOWER(TRIM(Raw_Data!D129))="w."),"West",IF(OR(LOWER(TRIM(Raw_Data!D129))="central",LOWER(TRIM(Raw_Data!D129))="c."),"Central","Unknown")))))</f>
        <v>North</v>
      </c>
      <c r="E129" s="12" t="s">
        <v>111</v>
      </c>
      <c r="F129" s="12" t="s">
        <v>112</v>
      </c>
      <c r="G129" s="12" t="s">
        <v>57</v>
      </c>
      <c r="H129" s="12">
        <f>IFERROR(VALUE(Raw_Data!H129),0)</f>
        <v>8</v>
      </c>
      <c r="I129" s="49">
        <f>IFERROR(VALUE(Raw_Data!I129),0)</f>
        <v>18000</v>
      </c>
      <c r="J129" s="12">
        <f>IFERROR(VALUE(Raw_Data!J129),0)</f>
        <v>0</v>
      </c>
      <c r="K129" s="12" t="s">
        <v>74</v>
      </c>
      <c r="L129" s="12" t="str">
        <f>IF(COUNTIF($A$2:A129, A129)&gt;1, "Duplicate", "Valid")</f>
        <v>Valid</v>
      </c>
      <c r="M129" s="50">
        <f t="shared" si="2"/>
        <v>144000</v>
      </c>
      <c r="N129" t="str">
        <f>IF(COUNTIF($A$2:A129, A129)&gt;1, "Duplicate", IF(OR(B129="NA", ISERROR(B129), ISTEXT(B129)), "Invalid Date", IF(OR(C129=0, E129=0, H129=0, I129=0, J129=0), "Missing Data", "OK")))</f>
        <v>Missing Data</v>
      </c>
      <c r="O129" t="str">
        <f>IFERROR(INDEX(Reps!$B:$B, MATCH(K129, Reps!$A:$A, 0)), "Not Found")</f>
        <v>Rahul Verma</v>
      </c>
      <c r="P129" t="str">
        <f t="shared" si="3"/>
        <v>January</v>
      </c>
    </row>
    <row r="130" spans="1:16" x14ac:dyDescent="0.25">
      <c r="A130" t="s">
        <v>342</v>
      </c>
      <c r="B130" s="10">
        <f>IFERROR(IFERROR(INT(VALUE(Raw_Data!B130)), DATE(RIGHT(TRIM(Raw_Data!B130),4), MID(TRIM(Raw_Data!B130),4,2), LEFT(TRIM(Raw_Data!B130),2))), "NA")</f>
        <v>45984</v>
      </c>
      <c r="C130" s="12" t="s">
        <v>123</v>
      </c>
      <c r="D130" s="12" t="str">
        <f>IF(OR(LOWER(TRIM(Raw_Data!D130))="north",LOWER(TRIM(Raw_Data!D130))="n.",LOWER(SUBSTITUTE(TRIM(Raw_Data!D130)," ",""))="north"),"North",IF(OR(LOWER(TRIM(Raw_Data!D130))="south",LOWER(TRIM(Raw_Data!D130))="s."),"South",IF(OR(LOWER(TRIM(Raw_Data!D130))="east",LOWER(TRIM(Raw_Data!D130))="e."),"East",IF(OR(LOWER(TRIM(Raw_Data!D130))="west",LOWER(TRIM(Raw_Data!D130))="w."),"West",IF(OR(LOWER(TRIM(Raw_Data!D130))="central",LOWER(TRIM(Raw_Data!D130))="c."),"Central","Unknown")))))</f>
        <v>South</v>
      </c>
      <c r="E130" s="12" t="s">
        <v>48</v>
      </c>
      <c r="F130" s="12" t="s">
        <v>49</v>
      </c>
      <c r="G130" s="12" t="s">
        <v>50</v>
      </c>
      <c r="H130" s="12">
        <f>IFERROR(VALUE(Raw_Data!H130),0)</f>
        <v>8</v>
      </c>
      <c r="I130" s="49">
        <f>IFERROR(VALUE(Raw_Data!I130),0)</f>
        <v>12000</v>
      </c>
      <c r="J130" s="12">
        <f>IFERROR(VALUE(Raw_Data!J130),0)</f>
        <v>0</v>
      </c>
      <c r="K130" s="12" t="s">
        <v>74</v>
      </c>
      <c r="L130" s="12" t="str">
        <f>IF(COUNTIF($A$2:A130, A130)&gt;1, "Duplicate", "Valid")</f>
        <v>Valid</v>
      </c>
      <c r="M130" s="50">
        <f t="shared" ref="M130:M193" si="4">H130*I130*(1-J130)</f>
        <v>96000</v>
      </c>
      <c r="N130" t="str">
        <f>IF(COUNTIF($A$2:A130, A130)&gt;1, "Duplicate", IF(OR(B130="NA", ISERROR(B130), ISTEXT(B130)), "Invalid Date", IF(OR(C130=0, E130=0, H130=0, I130=0, J130=0), "Missing Data", "OK")))</f>
        <v>Missing Data</v>
      </c>
      <c r="O130" t="str">
        <f>IFERROR(INDEX(Reps!$B:$B, MATCH(K130, Reps!$A:$A, 0)), "Not Found")</f>
        <v>Rahul Verma</v>
      </c>
      <c r="P130" t="str">
        <f t="shared" ref="P130:P193" si="5">IFERROR(TEXT(B130, "mmmm"),"")</f>
        <v>November</v>
      </c>
    </row>
    <row r="131" spans="1:16" x14ac:dyDescent="0.25">
      <c r="A131" t="s">
        <v>344</v>
      </c>
      <c r="B131" s="10">
        <f>IFERROR(IFERROR(INT(VALUE(Raw_Data!B131)), DATE(RIGHT(TRIM(Raw_Data!B131),4), MID(TRIM(Raw_Data!B131),4,2), LEFT(TRIM(Raw_Data!B131),2))), "NA")</f>
        <v>46081</v>
      </c>
      <c r="C131" s="12" t="s">
        <v>151</v>
      </c>
      <c r="D131" s="12" t="str">
        <f>IF(OR(LOWER(TRIM(Raw_Data!D131))="north",LOWER(TRIM(Raw_Data!D131))="n.",LOWER(SUBSTITUTE(TRIM(Raw_Data!D131)," ",""))="north"),"North",IF(OR(LOWER(TRIM(Raw_Data!D131))="south",LOWER(TRIM(Raw_Data!D131))="s."),"South",IF(OR(LOWER(TRIM(Raw_Data!D131))="east",LOWER(TRIM(Raw_Data!D131))="e."),"East",IF(OR(LOWER(TRIM(Raw_Data!D131))="west",LOWER(TRIM(Raw_Data!D131))="w."),"West",IF(OR(LOWER(TRIM(Raw_Data!D131))="central",LOWER(TRIM(Raw_Data!D131))="c."),"Central","Unknown")))))</f>
        <v>West</v>
      </c>
      <c r="E131" s="12" t="s">
        <v>55</v>
      </c>
      <c r="F131" s="12" t="s">
        <v>56</v>
      </c>
      <c r="G131" s="12" t="s">
        <v>57</v>
      </c>
      <c r="H131" s="12">
        <f>IFERROR(VALUE(Raw_Data!H131),0)</f>
        <v>2</v>
      </c>
      <c r="I131" s="49">
        <f>IFERROR(VALUE(Raw_Data!I131),0)</f>
        <v>65000</v>
      </c>
      <c r="J131" s="12">
        <f>IFERROR(VALUE(Raw_Data!J131),0)</f>
        <v>0.1</v>
      </c>
      <c r="K131" s="12" t="s">
        <v>79</v>
      </c>
      <c r="L131" s="12" t="str">
        <f>IF(COUNTIF($A$2:A131, A131)&gt;1, "Duplicate", "Valid")</f>
        <v>Valid</v>
      </c>
      <c r="M131" s="50">
        <f t="shared" si="4"/>
        <v>117000</v>
      </c>
      <c r="N131" t="str">
        <f>IF(COUNTIF($A$2:A131, A131)&gt;1, "Duplicate", IF(OR(B131="NA", ISERROR(B131), ISTEXT(B131)), "Invalid Date", IF(OR(C131=0, E131=0, H131=0, I131=0, J131=0), "Missing Data", "OK")))</f>
        <v>OK</v>
      </c>
      <c r="O131" t="str">
        <f>IFERROR(INDEX(Reps!$B:$B, MATCH(K131, Reps!$A:$A, 0)), "Not Found")</f>
        <v>Sneha Reddy</v>
      </c>
      <c r="P131" t="str">
        <f t="shared" si="5"/>
        <v>February</v>
      </c>
    </row>
    <row r="132" spans="1:16" x14ac:dyDescent="0.25">
      <c r="A132" t="s">
        <v>346</v>
      </c>
      <c r="B132" s="10">
        <f>IFERROR(IFERROR(INT(VALUE(Raw_Data!B132)), DATE(RIGHT(TRIM(Raw_Data!B132),4), MID(TRIM(Raw_Data!B132),4,2), LEFT(TRIM(Raw_Data!B132),2))), "NA")</f>
        <v>46020</v>
      </c>
      <c r="C132" s="12" t="s">
        <v>82</v>
      </c>
      <c r="D132" s="12" t="str">
        <f>IF(OR(LOWER(TRIM(Raw_Data!D132))="north",LOWER(TRIM(Raw_Data!D132))="n.",LOWER(SUBSTITUTE(TRIM(Raw_Data!D132)," ",""))="north"),"North",IF(OR(LOWER(TRIM(Raw_Data!D132))="south",LOWER(TRIM(Raw_Data!D132))="s."),"South",IF(OR(LOWER(TRIM(Raw_Data!D132))="east",LOWER(TRIM(Raw_Data!D132))="e."),"East",IF(OR(LOWER(TRIM(Raw_Data!D132))="west",LOWER(TRIM(Raw_Data!D132))="w."),"West",IF(OR(LOWER(TRIM(Raw_Data!D132))="central",LOWER(TRIM(Raw_Data!D132))="c."),"Central","Unknown")))))</f>
        <v>South</v>
      </c>
      <c r="E132" s="12" t="s">
        <v>89</v>
      </c>
      <c r="F132" s="12" t="s">
        <v>90</v>
      </c>
      <c r="G132" s="12" t="s">
        <v>91</v>
      </c>
      <c r="H132" s="12">
        <f>IFERROR(VALUE(Raw_Data!H132),0)</f>
        <v>5</v>
      </c>
      <c r="I132" s="49">
        <f>IFERROR(VALUE(Raw_Data!I132),0)</f>
        <v>2200</v>
      </c>
      <c r="J132" s="12">
        <f>IFERROR(VALUE(Raw_Data!J132),0)</f>
        <v>0.1</v>
      </c>
      <c r="K132" s="12" t="s">
        <v>70</v>
      </c>
      <c r="L132" s="12" t="str">
        <f>IF(COUNTIF($A$2:A132, A132)&gt;1, "Duplicate", "Valid")</f>
        <v>Valid</v>
      </c>
      <c r="M132" s="50">
        <f t="shared" si="4"/>
        <v>9900</v>
      </c>
      <c r="N132" t="str">
        <f>IF(COUNTIF($A$2:A132, A132)&gt;1, "Duplicate", IF(OR(B132="NA", ISERROR(B132), ISTEXT(B132)), "Invalid Date", IF(OR(C132=0, E132=0, H132=0, I132=0, J132=0), "Missing Data", "OK")))</f>
        <v>OK</v>
      </c>
      <c r="O132" t="str">
        <f>IFERROR(INDEX(Reps!$B:$B, MATCH(K132, Reps!$A:$A, 0)), "Not Found")</f>
        <v>Vikram Nair</v>
      </c>
      <c r="P132" t="str">
        <f t="shared" si="5"/>
        <v>December</v>
      </c>
    </row>
    <row r="133" spans="1:16" x14ac:dyDescent="0.25">
      <c r="A133" t="s">
        <v>347</v>
      </c>
      <c r="B133" s="10">
        <f>IFERROR(IFERROR(INT(VALUE(Raw_Data!B133)), DATE(RIGHT(TRIM(Raw_Data!B133),4), MID(TRIM(Raw_Data!B133),4,2), LEFT(TRIM(Raw_Data!B133),2))), "NA")</f>
        <v>45978</v>
      </c>
      <c r="C133" s="12" t="s">
        <v>148</v>
      </c>
      <c r="D133" s="12" t="str">
        <f>IF(OR(LOWER(TRIM(Raw_Data!D133))="north",LOWER(TRIM(Raw_Data!D133))="n.",LOWER(SUBSTITUTE(TRIM(Raw_Data!D133)," ",""))="north"),"North",IF(OR(LOWER(TRIM(Raw_Data!D133))="south",LOWER(TRIM(Raw_Data!D133))="s."),"South",IF(OR(LOWER(TRIM(Raw_Data!D133))="east",LOWER(TRIM(Raw_Data!D133))="e."),"East",IF(OR(LOWER(TRIM(Raw_Data!D133))="west",LOWER(TRIM(Raw_Data!D133))="w."),"West",IF(OR(LOWER(TRIM(Raw_Data!D133))="central",LOWER(TRIM(Raw_Data!D133))="c."),"Central","Unknown")))))</f>
        <v>Unknown</v>
      </c>
      <c r="E133" s="12" t="s">
        <v>135</v>
      </c>
      <c r="F133" s="12" t="s">
        <v>136</v>
      </c>
      <c r="G133" s="12" t="s">
        <v>50</v>
      </c>
      <c r="H133" s="12">
        <f>IFERROR(VALUE(Raw_Data!H133),0)</f>
        <v>1</v>
      </c>
      <c r="I133" s="49">
        <f>IFERROR(VALUE(Raw_Data!I133),0)</f>
        <v>9500</v>
      </c>
      <c r="J133" s="12">
        <f>IFERROR(VALUE(Raw_Data!J133),0)</f>
        <v>0.15</v>
      </c>
      <c r="K133" s="12" t="s">
        <v>43</v>
      </c>
      <c r="L133" s="12" t="str">
        <f>IF(COUNTIF($A$2:A133, A133)&gt;1, "Duplicate", "Valid")</f>
        <v>Valid</v>
      </c>
      <c r="M133" s="50">
        <f t="shared" si="4"/>
        <v>8075</v>
      </c>
      <c r="N133" t="str">
        <f>IF(COUNTIF($A$2:A133, A133)&gt;1, "Duplicate", IF(OR(B133="NA", ISERROR(B133), ISTEXT(B133)), "Invalid Date", IF(OR(C133=0, E133=0, H133=0, I133=0, J133=0), "Missing Data", "OK")))</f>
        <v>OK</v>
      </c>
      <c r="O133" t="str">
        <f>IFERROR(INDEX(Reps!$B:$B, MATCH(K133, Reps!$A:$A, 0)), "Not Found")</f>
        <v>Karan Mehta</v>
      </c>
      <c r="P133" t="str">
        <f t="shared" si="5"/>
        <v>November</v>
      </c>
    </row>
    <row r="134" spans="1:16" x14ac:dyDescent="0.25">
      <c r="A134" t="s">
        <v>349</v>
      </c>
      <c r="B134" s="10">
        <f>IFERROR(IFERROR(INT(VALUE(Raw_Data!B134)), DATE(RIGHT(TRIM(Raw_Data!B134),4), MID(TRIM(Raw_Data!B134),4,2), LEFT(TRIM(Raw_Data!B134),2))), "NA")</f>
        <v>46101</v>
      </c>
      <c r="C134" s="12" t="s">
        <v>198</v>
      </c>
      <c r="D134" s="12" t="str">
        <f>IF(OR(LOWER(TRIM(Raw_Data!D134))="north",LOWER(TRIM(Raw_Data!D134))="n.",LOWER(SUBSTITUTE(TRIM(Raw_Data!D134)," ",""))="north"),"North",IF(OR(LOWER(TRIM(Raw_Data!D134))="south",LOWER(TRIM(Raw_Data!D134))="s."),"South",IF(OR(LOWER(TRIM(Raw_Data!D134))="east",LOWER(TRIM(Raw_Data!D134))="e."),"East",IF(OR(LOWER(TRIM(Raw_Data!D134))="west",LOWER(TRIM(Raw_Data!D134))="w."),"West",IF(OR(LOWER(TRIM(Raw_Data!D134))="central",LOWER(TRIM(Raw_Data!D134))="c."),"Central","Unknown")))))</f>
        <v>West</v>
      </c>
      <c r="E134" s="12" t="s">
        <v>55</v>
      </c>
      <c r="F134" s="12" t="s">
        <v>56</v>
      </c>
      <c r="G134" s="12" t="s">
        <v>57</v>
      </c>
      <c r="H134" s="12">
        <f>IFERROR(VALUE(Raw_Data!H134),0)</f>
        <v>11</v>
      </c>
      <c r="I134" s="49">
        <f>IFERROR(VALUE(Raw_Data!I134),0)</f>
        <v>65000</v>
      </c>
      <c r="J134" s="12">
        <f>IFERROR(VALUE(Raw_Data!J134),0)</f>
        <v>0.15</v>
      </c>
      <c r="K134" s="12" t="s">
        <v>102</v>
      </c>
      <c r="L134" s="12" t="str">
        <f>IF(COUNTIF($A$2:A134, A134)&gt;1, "Duplicate", "Valid")</f>
        <v>Valid</v>
      </c>
      <c r="M134" s="50">
        <f t="shared" si="4"/>
        <v>607750</v>
      </c>
      <c r="N134" t="str">
        <f>IF(COUNTIF($A$2:A134, A134)&gt;1, "Duplicate", IF(OR(B134="NA", ISERROR(B134), ISTEXT(B134)), "Invalid Date", IF(OR(C134=0, E134=0, H134=0, I134=0, J134=0), "Missing Data", "OK")))</f>
        <v>OK</v>
      </c>
      <c r="O134" t="str">
        <f>IFERROR(INDEX(Reps!$B:$B, MATCH(K134, Reps!$A:$A, 0)), "Not Found")</f>
        <v>Anita Sharma</v>
      </c>
      <c r="P134" t="str">
        <f t="shared" si="5"/>
        <v>March</v>
      </c>
    </row>
    <row r="135" spans="1:16" x14ac:dyDescent="0.25">
      <c r="A135" t="s">
        <v>351</v>
      </c>
      <c r="B135" s="10">
        <f>IFERROR(IFERROR(INT(VALUE(Raw_Data!B135)), DATE(RIGHT(TRIM(Raw_Data!B135),4), MID(TRIM(Raw_Data!B135),4,2), LEFT(TRIM(Raw_Data!B135),2))), "NA")</f>
        <v>46450</v>
      </c>
      <c r="C135" s="12" t="s">
        <v>109</v>
      </c>
      <c r="D135" s="12" t="str">
        <f>IF(OR(LOWER(TRIM(Raw_Data!D135))="north",LOWER(TRIM(Raw_Data!D135))="n.",LOWER(SUBSTITUTE(TRIM(Raw_Data!D135)," ",""))="north"),"North",IF(OR(LOWER(TRIM(Raw_Data!D135))="south",LOWER(TRIM(Raw_Data!D135))="s."),"South",IF(OR(LOWER(TRIM(Raw_Data!D135))="east",LOWER(TRIM(Raw_Data!D135))="e."),"East",IF(OR(LOWER(TRIM(Raw_Data!D135))="west",LOWER(TRIM(Raw_Data!D135))="w."),"West",IF(OR(LOWER(TRIM(Raw_Data!D135))="central",LOWER(TRIM(Raw_Data!D135))="c."),"Central","Unknown")))))</f>
        <v>South</v>
      </c>
      <c r="E135" s="12" t="s">
        <v>77</v>
      </c>
      <c r="F135" s="12" t="s">
        <v>78</v>
      </c>
      <c r="G135" s="12" t="s">
        <v>57</v>
      </c>
      <c r="H135" s="12">
        <f>IFERROR(VALUE(Raw_Data!H135),0)</f>
        <v>8</v>
      </c>
      <c r="I135" s="49">
        <f>IFERROR(VALUE(Raw_Data!I135),0)</f>
        <v>3500</v>
      </c>
      <c r="J135" s="12">
        <f>IFERROR(VALUE(Raw_Data!J135),0)</f>
        <v>0.15</v>
      </c>
      <c r="K135" s="12" t="s">
        <v>43</v>
      </c>
      <c r="L135" s="12" t="str">
        <f>IF(COUNTIF($A$2:A135, A135)&gt;1, "Duplicate", "Valid")</f>
        <v>Valid</v>
      </c>
      <c r="M135" s="50">
        <f t="shared" si="4"/>
        <v>23800</v>
      </c>
      <c r="N135" t="str">
        <f>IF(COUNTIF($A$2:A135, A135)&gt;1, "Duplicate", IF(OR(B135="NA", ISERROR(B135), ISTEXT(B135)), "Invalid Date", IF(OR(C135=0, E135=0, H135=0, I135=0, J135=0), "Missing Data", "OK")))</f>
        <v>OK</v>
      </c>
      <c r="O135" t="str">
        <f>IFERROR(INDEX(Reps!$B:$B, MATCH(K135, Reps!$A:$A, 0)), "Not Found")</f>
        <v>Karan Mehta</v>
      </c>
      <c r="P135" t="str">
        <f t="shared" si="5"/>
        <v>March</v>
      </c>
    </row>
    <row r="136" spans="1:16" x14ac:dyDescent="0.25">
      <c r="A136" t="s">
        <v>352</v>
      </c>
      <c r="B136" s="10">
        <f>IFERROR(IFERROR(INT(VALUE(Raw_Data!B136)), DATE(RIGHT(TRIM(Raw_Data!B136),4), MID(TRIM(Raw_Data!B136),4,2), LEFT(TRIM(Raw_Data!B136),2))), "NA")</f>
        <v>46131</v>
      </c>
      <c r="C136" s="12" t="s">
        <v>165</v>
      </c>
      <c r="D136" s="12" t="str">
        <f>IF(OR(LOWER(TRIM(Raw_Data!D136))="north",LOWER(TRIM(Raw_Data!D136))="n.",LOWER(SUBSTITUTE(TRIM(Raw_Data!D136)," ",""))="north"),"North",IF(OR(LOWER(TRIM(Raw_Data!D136))="south",LOWER(TRIM(Raw_Data!D136))="s."),"South",IF(OR(LOWER(TRIM(Raw_Data!D136))="east",LOWER(TRIM(Raw_Data!D136))="e."),"East",IF(OR(LOWER(TRIM(Raw_Data!D136))="west",LOWER(TRIM(Raw_Data!D136))="w."),"West",IF(OR(LOWER(TRIM(Raw_Data!D136))="central",LOWER(TRIM(Raw_Data!D136))="c."),"Central","Unknown")))))</f>
        <v>South</v>
      </c>
      <c r="E136" s="12" t="s">
        <v>127</v>
      </c>
      <c r="F136" s="12" t="s">
        <v>128</v>
      </c>
      <c r="G136" s="12" t="s">
        <v>57</v>
      </c>
      <c r="H136" s="12">
        <f>IFERROR(VALUE(Raw_Data!H136),0)</f>
        <v>2</v>
      </c>
      <c r="I136" s="49">
        <f>IFERROR(VALUE(Raw_Data!I136),0)</f>
        <v>4500</v>
      </c>
      <c r="J136" s="12">
        <f>IFERROR(VALUE(Raw_Data!J136),0)</f>
        <v>0</v>
      </c>
      <c r="K136" s="12" t="s">
        <v>74</v>
      </c>
      <c r="L136" s="12" t="str">
        <f>IF(COUNTIF($A$2:A136, A136)&gt;1, "Duplicate", "Valid")</f>
        <v>Valid</v>
      </c>
      <c r="M136" s="50">
        <f t="shared" si="4"/>
        <v>9000</v>
      </c>
      <c r="N136" t="str">
        <f>IF(COUNTIF($A$2:A136, A136)&gt;1, "Duplicate", IF(OR(B136="NA", ISERROR(B136), ISTEXT(B136)), "Invalid Date", IF(OR(C136=0, E136=0, H136=0, I136=0, J136=0), "Missing Data", "OK")))</f>
        <v>Missing Data</v>
      </c>
      <c r="O136" t="str">
        <f>IFERROR(INDEX(Reps!$B:$B, MATCH(K136, Reps!$A:$A, 0)), "Not Found")</f>
        <v>Rahul Verma</v>
      </c>
      <c r="P136" t="str">
        <f t="shared" si="5"/>
        <v>April</v>
      </c>
    </row>
    <row r="137" spans="1:16" x14ac:dyDescent="0.25">
      <c r="A137" t="s">
        <v>354</v>
      </c>
      <c r="B137" s="10">
        <f>IFERROR(IFERROR(INT(VALUE(Raw_Data!B137)), DATE(RIGHT(TRIM(Raw_Data!B137),4), MID(TRIM(Raw_Data!B137),4,2), LEFT(TRIM(Raw_Data!B137),2))), "NA")</f>
        <v>46138</v>
      </c>
      <c r="C137" s="12" t="s">
        <v>38</v>
      </c>
      <c r="D137" s="12" t="str">
        <f>IF(OR(LOWER(TRIM(Raw_Data!D137))="north",LOWER(TRIM(Raw_Data!D137))="n.",LOWER(SUBSTITUTE(TRIM(Raw_Data!D137)," ",""))="north"),"North",IF(OR(LOWER(TRIM(Raw_Data!D137))="south",LOWER(TRIM(Raw_Data!D137))="s."),"South",IF(OR(LOWER(TRIM(Raw_Data!D137))="east",LOWER(TRIM(Raw_Data!D137))="e."),"East",IF(OR(LOWER(TRIM(Raw_Data!D137))="west",LOWER(TRIM(Raw_Data!D137))="w."),"West",IF(OR(LOWER(TRIM(Raw_Data!D137))="central",LOWER(TRIM(Raw_Data!D137))="c."),"Central","Unknown")))))</f>
        <v>West</v>
      </c>
      <c r="E137" s="12" t="s">
        <v>55</v>
      </c>
      <c r="F137" s="12" t="s">
        <v>56</v>
      </c>
      <c r="G137" s="12" t="s">
        <v>57</v>
      </c>
      <c r="H137" s="12">
        <f>IFERROR(VALUE(Raw_Data!H137),0)</f>
        <v>12</v>
      </c>
      <c r="I137" s="49">
        <f>IFERROR(VALUE(Raw_Data!I137),0)</f>
        <v>65000</v>
      </c>
      <c r="J137" s="12">
        <f>IFERROR(VALUE(Raw_Data!J137),0)</f>
        <v>0.15</v>
      </c>
      <c r="K137" s="12" t="s">
        <v>70</v>
      </c>
      <c r="L137" s="12" t="str">
        <f>IF(COUNTIF($A$2:A137, A137)&gt;1, "Duplicate", "Valid")</f>
        <v>Valid</v>
      </c>
      <c r="M137" s="50">
        <f t="shared" si="4"/>
        <v>663000</v>
      </c>
      <c r="N137" t="str">
        <f>IF(COUNTIF($A$2:A137, A137)&gt;1, "Duplicate", IF(OR(B137="NA", ISERROR(B137), ISTEXT(B137)), "Invalid Date", IF(OR(C137=0, E137=0, H137=0, I137=0, J137=0), "Missing Data", "OK")))</f>
        <v>OK</v>
      </c>
      <c r="O137" t="str">
        <f>IFERROR(INDEX(Reps!$B:$B, MATCH(K137, Reps!$A:$A, 0)), "Not Found")</f>
        <v>Vikram Nair</v>
      </c>
      <c r="P137" t="str">
        <f t="shared" si="5"/>
        <v>April</v>
      </c>
    </row>
    <row r="138" spans="1:16" x14ac:dyDescent="0.25">
      <c r="A138" t="s">
        <v>356</v>
      </c>
      <c r="B138" s="10">
        <f>IFERROR(IFERROR(INT(VALUE(Raw_Data!B138)), DATE(RIGHT(TRIM(Raw_Data!B138),4), MID(TRIM(Raw_Data!B138),4,2), LEFT(TRIM(Raw_Data!B138),2))), "NA")</f>
        <v>46018</v>
      </c>
      <c r="C138" s="12" t="s">
        <v>178</v>
      </c>
      <c r="D138" s="12" t="str">
        <f>IF(OR(LOWER(TRIM(Raw_Data!D138))="north",LOWER(TRIM(Raw_Data!D138))="n.",LOWER(SUBSTITUTE(TRIM(Raw_Data!D138)," ",""))="north"),"North",IF(OR(LOWER(TRIM(Raw_Data!D138))="south",LOWER(TRIM(Raw_Data!D138))="s."),"South",IF(OR(LOWER(TRIM(Raw_Data!D138))="east",LOWER(TRIM(Raw_Data!D138))="e."),"East",IF(OR(LOWER(TRIM(Raw_Data!D138))="west",LOWER(TRIM(Raw_Data!D138))="w."),"West",IF(OR(LOWER(TRIM(Raw_Data!D138))="central",LOWER(TRIM(Raw_Data!D138))="c."),"Central","Unknown")))))</f>
        <v>West</v>
      </c>
      <c r="E138" s="12" t="s">
        <v>55</v>
      </c>
      <c r="F138" s="12" t="s">
        <v>56</v>
      </c>
      <c r="G138" s="12" t="s">
        <v>57</v>
      </c>
      <c r="H138" s="12">
        <f>IFERROR(VALUE(Raw_Data!H138),0)</f>
        <v>7</v>
      </c>
      <c r="I138" s="49">
        <f>IFERROR(VALUE(Raw_Data!I138),0)</f>
        <v>65000</v>
      </c>
      <c r="J138" s="12">
        <f>IFERROR(VALUE(Raw_Data!J138),0)</f>
        <v>0.1</v>
      </c>
      <c r="K138" s="12" t="s">
        <v>43</v>
      </c>
      <c r="L138" s="12" t="str">
        <f>IF(COUNTIF($A$2:A138, A138)&gt;1, "Duplicate", "Valid")</f>
        <v>Valid</v>
      </c>
      <c r="M138" s="50">
        <f t="shared" si="4"/>
        <v>409500</v>
      </c>
      <c r="N138" t="str">
        <f>IF(COUNTIF($A$2:A138, A138)&gt;1, "Duplicate", IF(OR(B138="NA", ISERROR(B138), ISTEXT(B138)), "Invalid Date", IF(OR(C138=0, E138=0, H138=0, I138=0, J138=0), "Missing Data", "OK")))</f>
        <v>OK</v>
      </c>
      <c r="O138" t="str">
        <f>IFERROR(INDEX(Reps!$B:$B, MATCH(K138, Reps!$A:$A, 0)), "Not Found")</f>
        <v>Karan Mehta</v>
      </c>
      <c r="P138" t="str">
        <f t="shared" si="5"/>
        <v>December</v>
      </c>
    </row>
    <row r="139" spans="1:16" x14ac:dyDescent="0.25">
      <c r="A139" t="s">
        <v>357</v>
      </c>
      <c r="B139" s="10">
        <f>IFERROR(IFERROR(INT(VALUE(Raw_Data!B139)), DATE(RIGHT(TRIM(Raw_Data!B139),4), MID(TRIM(Raw_Data!B139),4,2), LEFT(TRIM(Raw_Data!B139),2))), "NA")</f>
        <v>45988</v>
      </c>
      <c r="C139" s="12" t="s">
        <v>198</v>
      </c>
      <c r="D139" s="12" t="str">
        <f>IF(OR(LOWER(TRIM(Raw_Data!D139))="north",LOWER(TRIM(Raw_Data!D139))="n.",LOWER(SUBSTITUTE(TRIM(Raw_Data!D139)," ",""))="north"),"North",IF(OR(LOWER(TRIM(Raw_Data!D139))="south",LOWER(TRIM(Raw_Data!D139))="s."),"South",IF(OR(LOWER(TRIM(Raw_Data!D139))="east",LOWER(TRIM(Raw_Data!D139))="e."),"East",IF(OR(LOWER(TRIM(Raw_Data!D139))="west",LOWER(TRIM(Raw_Data!D139))="w."),"West",IF(OR(LOWER(TRIM(Raw_Data!D139))="central",LOWER(TRIM(Raw_Data!D139))="c."),"Central","Unknown")))))</f>
        <v>North</v>
      </c>
      <c r="E139" s="12" t="s">
        <v>40</v>
      </c>
      <c r="F139" s="12" t="s">
        <v>41</v>
      </c>
      <c r="G139" s="12" t="s">
        <v>42</v>
      </c>
      <c r="H139" s="12">
        <f>IFERROR(VALUE(Raw_Data!H139),0)</f>
        <v>6</v>
      </c>
      <c r="I139" s="49">
        <f>IFERROR(VALUE(Raw_Data!I139),0)</f>
        <v>450</v>
      </c>
      <c r="J139" s="12">
        <f>IFERROR(VALUE(Raw_Data!J139),0)</f>
        <v>0.25</v>
      </c>
      <c r="K139" s="12" t="s">
        <v>102</v>
      </c>
      <c r="L139" s="12" t="str">
        <f>IF(COUNTIF($A$2:A139, A139)&gt;1, "Duplicate", "Valid")</f>
        <v>Valid</v>
      </c>
      <c r="M139" s="50">
        <f t="shared" si="4"/>
        <v>2025</v>
      </c>
      <c r="N139" t="str">
        <f>IF(COUNTIF($A$2:A139, A139)&gt;1, "Duplicate", IF(OR(B139="NA", ISERROR(B139), ISTEXT(B139)), "Invalid Date", IF(OR(C139=0, E139=0, H139=0, I139=0, J139=0), "Missing Data", "OK")))</f>
        <v>OK</v>
      </c>
      <c r="O139" t="str">
        <f>IFERROR(INDEX(Reps!$B:$B, MATCH(K139, Reps!$A:$A, 0)), "Not Found")</f>
        <v>Anita Sharma</v>
      </c>
      <c r="P139" t="str">
        <f t="shared" si="5"/>
        <v>November</v>
      </c>
    </row>
    <row r="140" spans="1:16" x14ac:dyDescent="0.25">
      <c r="A140" t="s">
        <v>359</v>
      </c>
      <c r="B140" s="10">
        <f>IFERROR(IFERROR(INT(VALUE(Raw_Data!B140)), DATE(RIGHT(TRIM(Raw_Data!B140),4), MID(TRIM(Raw_Data!B140),4,2), LEFT(TRIM(Raw_Data!B140),2))), "NA")</f>
        <v>46266</v>
      </c>
      <c r="C140" s="12" t="s">
        <v>76</v>
      </c>
      <c r="D140" s="12" t="str">
        <f>IF(OR(LOWER(TRIM(Raw_Data!D140))="north",LOWER(TRIM(Raw_Data!D140))="n.",LOWER(SUBSTITUTE(TRIM(Raw_Data!D140)," ",""))="north"),"North",IF(OR(LOWER(TRIM(Raw_Data!D140))="south",LOWER(TRIM(Raw_Data!D140))="s."),"South",IF(OR(LOWER(TRIM(Raw_Data!D140))="east",LOWER(TRIM(Raw_Data!D140))="e."),"East",IF(OR(LOWER(TRIM(Raw_Data!D140))="west",LOWER(TRIM(Raw_Data!D140))="w."),"West",IF(OR(LOWER(TRIM(Raw_Data!D140))="central",LOWER(TRIM(Raw_Data!D140))="c."),"Central","Unknown")))))</f>
        <v>East</v>
      </c>
      <c r="E140" s="12" t="s">
        <v>48</v>
      </c>
      <c r="F140" s="12" t="s">
        <v>49</v>
      </c>
      <c r="G140" s="12" t="s">
        <v>50</v>
      </c>
      <c r="H140" s="12">
        <f>IFERROR(VALUE(Raw_Data!H140),0)</f>
        <v>12</v>
      </c>
      <c r="I140" s="49">
        <f>IFERROR(VALUE(Raw_Data!I140),0)</f>
        <v>12000</v>
      </c>
      <c r="J140" s="12">
        <f>IFERROR(VALUE(Raw_Data!J140),0)</f>
        <v>0</v>
      </c>
      <c r="K140" s="12" t="s">
        <v>70</v>
      </c>
      <c r="L140" s="12" t="str">
        <f>IF(COUNTIF($A$2:A140, A140)&gt;1, "Duplicate", "Valid")</f>
        <v>Valid</v>
      </c>
      <c r="M140" s="50">
        <f t="shared" si="4"/>
        <v>144000</v>
      </c>
      <c r="N140" t="str">
        <f>IF(COUNTIF($A$2:A140, A140)&gt;1, "Duplicate", IF(OR(B140="NA", ISERROR(B140), ISTEXT(B140)), "Invalid Date", IF(OR(C140=0, E140=0, H140=0, I140=0, J140=0), "Missing Data", "OK")))</f>
        <v>Missing Data</v>
      </c>
      <c r="O140" t="str">
        <f>IFERROR(INDEX(Reps!$B:$B, MATCH(K140, Reps!$A:$A, 0)), "Not Found")</f>
        <v>Vikram Nair</v>
      </c>
      <c r="P140" t="str">
        <f t="shared" si="5"/>
        <v>September</v>
      </c>
    </row>
    <row r="141" spans="1:16" x14ac:dyDescent="0.25">
      <c r="A141" t="s">
        <v>361</v>
      </c>
      <c r="B141" s="10">
        <f>IFERROR(IFERROR(INT(VALUE(Raw_Data!B141)), DATE(RIGHT(TRIM(Raw_Data!B141),4), MID(TRIM(Raw_Data!B141),4,2), LEFT(TRIM(Raw_Data!B141),2))), "NA")</f>
        <v>46002</v>
      </c>
      <c r="C141" s="12" t="s">
        <v>131</v>
      </c>
      <c r="D141" s="12" t="str">
        <f>IF(OR(LOWER(TRIM(Raw_Data!D141))="north",LOWER(TRIM(Raw_Data!D141))="n.",LOWER(SUBSTITUTE(TRIM(Raw_Data!D141)," ",""))="north"),"North",IF(OR(LOWER(TRIM(Raw_Data!D141))="south",LOWER(TRIM(Raw_Data!D141))="s."),"South",IF(OR(LOWER(TRIM(Raw_Data!D141))="east",LOWER(TRIM(Raw_Data!D141))="e."),"East",IF(OR(LOWER(TRIM(Raw_Data!D141))="west",LOWER(TRIM(Raw_Data!D141))="w."),"West",IF(OR(LOWER(TRIM(Raw_Data!D141))="central",LOWER(TRIM(Raw_Data!D141))="c."),"Central","Unknown")))))</f>
        <v>North</v>
      </c>
      <c r="E141" s="12" t="s">
        <v>135</v>
      </c>
      <c r="F141" s="12" t="s">
        <v>136</v>
      </c>
      <c r="G141" s="12" t="s">
        <v>50</v>
      </c>
      <c r="H141" s="12">
        <f>IFERROR(VALUE(Raw_Data!H141),0)</f>
        <v>7</v>
      </c>
      <c r="I141" s="49">
        <f>IFERROR(VALUE(Raw_Data!I141),0)</f>
        <v>9500</v>
      </c>
      <c r="J141" s="12">
        <f>IFERROR(VALUE(Raw_Data!J141),0)</f>
        <v>0.2</v>
      </c>
      <c r="K141" s="12" t="s">
        <v>102</v>
      </c>
      <c r="L141" s="12" t="str">
        <f>IF(COUNTIF($A$2:A141, A141)&gt;1, "Duplicate", "Valid")</f>
        <v>Valid</v>
      </c>
      <c r="M141" s="50">
        <f t="shared" si="4"/>
        <v>53200</v>
      </c>
      <c r="N141" t="str">
        <f>IF(COUNTIF($A$2:A141, A141)&gt;1, "Duplicate", IF(OR(B141="NA", ISERROR(B141), ISTEXT(B141)), "Invalid Date", IF(OR(C141=0, E141=0, H141=0, I141=0, J141=0), "Missing Data", "OK")))</f>
        <v>OK</v>
      </c>
      <c r="O141" t="str">
        <f>IFERROR(INDEX(Reps!$B:$B, MATCH(K141, Reps!$A:$A, 0)), "Not Found")</f>
        <v>Anita Sharma</v>
      </c>
      <c r="P141" t="str">
        <f t="shared" si="5"/>
        <v>December</v>
      </c>
    </row>
    <row r="142" spans="1:16" x14ac:dyDescent="0.25">
      <c r="A142" t="s">
        <v>362</v>
      </c>
      <c r="B142" s="10">
        <f>IFERROR(IFERROR(INT(VALUE(Raw_Data!B142)), DATE(RIGHT(TRIM(Raw_Data!B142),4), MID(TRIM(Raw_Data!B142),4,2), LEFT(TRIM(Raw_Data!B142),2))), "NA")</f>
        <v>46084</v>
      </c>
      <c r="C142" s="12" t="s">
        <v>38</v>
      </c>
      <c r="D142" s="12" t="str">
        <f>IF(OR(LOWER(TRIM(Raw_Data!D142))="north",LOWER(TRIM(Raw_Data!D142))="n.",LOWER(SUBSTITUTE(TRIM(Raw_Data!D142)," ",""))="north"),"North",IF(OR(LOWER(TRIM(Raw_Data!D142))="south",LOWER(TRIM(Raw_Data!D142))="s."),"South",IF(OR(LOWER(TRIM(Raw_Data!D142))="east",LOWER(TRIM(Raw_Data!D142))="e."),"East",IF(OR(LOWER(TRIM(Raw_Data!D142))="west",LOWER(TRIM(Raw_Data!D142))="w."),"West",IF(OR(LOWER(TRIM(Raw_Data!D142))="central",LOWER(TRIM(Raw_Data!D142))="c."),"Central","Unknown")))))</f>
        <v>East</v>
      </c>
      <c r="E142" s="12" t="s">
        <v>111</v>
      </c>
      <c r="F142" s="12" t="s">
        <v>112</v>
      </c>
      <c r="G142" s="12" t="s">
        <v>57</v>
      </c>
      <c r="H142" s="12">
        <f>IFERROR(VALUE(Raw_Data!H142),0)</f>
        <v>7</v>
      </c>
      <c r="I142" s="49">
        <f>IFERROR(VALUE(Raw_Data!I142),0)</f>
        <v>18000</v>
      </c>
      <c r="J142" s="12">
        <f>IFERROR(VALUE(Raw_Data!J142),0)</f>
        <v>0.1</v>
      </c>
      <c r="K142" s="12" t="s">
        <v>43</v>
      </c>
      <c r="L142" s="12" t="str">
        <f>IF(COUNTIF($A$2:A142, A142)&gt;1, "Duplicate", "Valid")</f>
        <v>Valid</v>
      </c>
      <c r="M142" s="50">
        <f t="shared" si="4"/>
        <v>113400</v>
      </c>
      <c r="N142" t="str">
        <f>IF(COUNTIF($A$2:A142, A142)&gt;1, "Duplicate", IF(OR(B142="NA", ISERROR(B142), ISTEXT(B142)), "Invalid Date", IF(OR(C142=0, E142=0, H142=0, I142=0, J142=0), "Missing Data", "OK")))</f>
        <v>OK</v>
      </c>
      <c r="O142" t="str">
        <f>IFERROR(INDEX(Reps!$B:$B, MATCH(K142, Reps!$A:$A, 0)), "Not Found")</f>
        <v>Karan Mehta</v>
      </c>
      <c r="P142" t="str">
        <f t="shared" si="5"/>
        <v>March</v>
      </c>
    </row>
    <row r="143" spans="1:16" x14ac:dyDescent="0.25">
      <c r="A143" t="s">
        <v>364</v>
      </c>
      <c r="B143" s="10">
        <f>IFERROR(IFERROR(INT(VALUE(Raw_Data!B143)), DATE(RIGHT(TRIM(Raw_Data!B143),4), MID(TRIM(Raw_Data!B143),4,2), LEFT(TRIM(Raw_Data!B143),2))), "NA")</f>
        <v>46132</v>
      </c>
      <c r="C143" s="12" t="s">
        <v>217</v>
      </c>
      <c r="D143" s="12" t="str">
        <f>IF(OR(LOWER(TRIM(Raw_Data!D143))="north",LOWER(TRIM(Raw_Data!D143))="n.",LOWER(SUBSTITUTE(TRIM(Raw_Data!D143)," ",""))="north"),"North",IF(OR(LOWER(TRIM(Raw_Data!D143))="south",LOWER(TRIM(Raw_Data!D143))="s."),"South",IF(OR(LOWER(TRIM(Raw_Data!D143))="east",LOWER(TRIM(Raw_Data!D143))="e."),"East",IF(OR(LOWER(TRIM(Raw_Data!D143))="west",LOWER(TRIM(Raw_Data!D143))="w."),"West",IF(OR(LOWER(TRIM(Raw_Data!D143))="central",LOWER(TRIM(Raw_Data!D143))="c."),"Central","Unknown")))))</f>
        <v>East</v>
      </c>
      <c r="E143" s="12" t="s">
        <v>89</v>
      </c>
      <c r="F143" s="12" t="s">
        <v>90</v>
      </c>
      <c r="G143" s="12" t="s">
        <v>91</v>
      </c>
      <c r="H143" s="12">
        <f>IFERROR(VALUE(Raw_Data!H143),0)</f>
        <v>5</v>
      </c>
      <c r="I143" s="49">
        <f>IFERROR(VALUE(Raw_Data!I143),0)</f>
        <v>2200</v>
      </c>
      <c r="J143" s="12">
        <f>IFERROR(VALUE(Raw_Data!J143),0)</f>
        <v>0</v>
      </c>
      <c r="K143" s="12" t="s">
        <v>70</v>
      </c>
      <c r="L143" s="12" t="str">
        <f>IF(COUNTIF($A$2:A143, A143)&gt;1, "Duplicate", "Valid")</f>
        <v>Valid</v>
      </c>
      <c r="M143" s="50">
        <f t="shared" si="4"/>
        <v>11000</v>
      </c>
      <c r="N143" t="str">
        <f>IF(COUNTIF($A$2:A143, A143)&gt;1, "Duplicate", IF(OR(B143="NA", ISERROR(B143), ISTEXT(B143)), "Invalid Date", IF(OR(C143=0, E143=0, H143=0, I143=0, J143=0), "Missing Data", "OK")))</f>
        <v>Missing Data</v>
      </c>
      <c r="O143" t="str">
        <f>IFERROR(INDEX(Reps!$B:$B, MATCH(K143, Reps!$A:$A, 0)), "Not Found")</f>
        <v>Vikram Nair</v>
      </c>
      <c r="P143" t="str">
        <f t="shared" si="5"/>
        <v>April</v>
      </c>
    </row>
    <row r="144" spans="1:16" x14ac:dyDescent="0.25">
      <c r="A144" t="s">
        <v>342</v>
      </c>
      <c r="B144" s="10">
        <f>IFERROR(IFERROR(INT(VALUE(Raw_Data!B144)), DATE(RIGHT(TRIM(Raw_Data!B144),4), MID(TRIM(Raw_Data!B144),4,2), LEFT(TRIM(Raw_Data!B144),2))), "NA")</f>
        <v>45984</v>
      </c>
      <c r="C144" s="12" t="s">
        <v>123</v>
      </c>
      <c r="D144" s="12" t="str">
        <f>IF(OR(LOWER(TRIM(Raw_Data!D144))="north",LOWER(TRIM(Raw_Data!D144))="n.",LOWER(SUBSTITUTE(TRIM(Raw_Data!D144)," ",""))="north"),"North",IF(OR(LOWER(TRIM(Raw_Data!D144))="south",LOWER(TRIM(Raw_Data!D144))="s."),"South",IF(OR(LOWER(TRIM(Raw_Data!D144))="east",LOWER(TRIM(Raw_Data!D144))="e."),"East",IF(OR(LOWER(TRIM(Raw_Data!D144))="west",LOWER(TRIM(Raw_Data!D144))="w."),"West",IF(OR(LOWER(TRIM(Raw_Data!D144))="central",LOWER(TRIM(Raw_Data!D144))="c."),"Central","Unknown")))))</f>
        <v>South</v>
      </c>
      <c r="E144" s="12" t="s">
        <v>48</v>
      </c>
      <c r="F144" s="12" t="s">
        <v>49</v>
      </c>
      <c r="G144" s="12" t="s">
        <v>50</v>
      </c>
      <c r="H144" s="12">
        <f>IFERROR(VALUE(Raw_Data!H144),0)</f>
        <v>8</v>
      </c>
      <c r="I144" s="49">
        <f>IFERROR(VALUE(Raw_Data!I144),0)</f>
        <v>12000</v>
      </c>
      <c r="J144" s="12">
        <f>IFERROR(VALUE(Raw_Data!J144),0)</f>
        <v>0</v>
      </c>
      <c r="K144" s="12" t="s">
        <v>74</v>
      </c>
      <c r="L144" s="12" t="str">
        <f>IF(COUNTIF($A$2:A144, A144)&gt;1, "Duplicate", "Valid")</f>
        <v>Duplicate</v>
      </c>
      <c r="M144" s="50">
        <f t="shared" si="4"/>
        <v>96000</v>
      </c>
      <c r="N144" t="str">
        <f>IF(COUNTIF($A$2:A144, A144)&gt;1, "Duplicate", IF(OR(B144="NA", ISERROR(B144), ISTEXT(B144)), "Invalid Date", IF(OR(C144=0, E144=0, H144=0, I144=0, J144=0), "Missing Data", "OK")))</f>
        <v>Duplicate</v>
      </c>
      <c r="O144" t="str">
        <f>IFERROR(INDEX(Reps!$B:$B, MATCH(K144, Reps!$A:$A, 0)), "Not Found")</f>
        <v>Rahul Verma</v>
      </c>
      <c r="P144" t="str">
        <f t="shared" si="5"/>
        <v>November</v>
      </c>
    </row>
    <row r="145" spans="1:16" x14ac:dyDescent="0.25">
      <c r="A145" t="s">
        <v>366</v>
      </c>
      <c r="B145" s="10">
        <f>IFERROR(IFERROR(INT(VALUE(Raw_Data!B145)), DATE(RIGHT(TRIM(Raw_Data!B145),4), MID(TRIM(Raw_Data!B145),4,2), LEFT(TRIM(Raw_Data!B145),2))), "NA")</f>
        <v>46023</v>
      </c>
      <c r="C145" s="12" t="s">
        <v>304</v>
      </c>
      <c r="D145" s="12" t="str">
        <f>IF(OR(LOWER(TRIM(Raw_Data!D145))="north",LOWER(TRIM(Raw_Data!D145))="n.",LOWER(SUBSTITUTE(TRIM(Raw_Data!D145)," ",""))="north"),"North",IF(OR(LOWER(TRIM(Raw_Data!D145))="south",LOWER(TRIM(Raw_Data!D145))="s."),"South",IF(OR(LOWER(TRIM(Raw_Data!D145))="east",LOWER(TRIM(Raw_Data!D145))="e."),"East",IF(OR(LOWER(TRIM(Raw_Data!D145))="west",LOWER(TRIM(Raw_Data!D145))="w."),"West",IF(OR(LOWER(TRIM(Raw_Data!D145))="central",LOWER(TRIM(Raw_Data!D145))="c."),"Central","Unknown")))))</f>
        <v>South</v>
      </c>
      <c r="E145" s="12" t="s">
        <v>40</v>
      </c>
      <c r="F145" s="12" t="s">
        <v>41</v>
      </c>
      <c r="G145" s="12" t="s">
        <v>42</v>
      </c>
      <c r="H145" s="12">
        <f>IFERROR(VALUE(Raw_Data!H145),0)</f>
        <v>11</v>
      </c>
      <c r="I145" s="49">
        <f>IFERROR(VALUE(Raw_Data!I145),0)</f>
        <v>450</v>
      </c>
      <c r="J145" s="12">
        <f>IFERROR(VALUE(Raw_Data!J145),0)</f>
        <v>0.15</v>
      </c>
      <c r="K145" s="12" t="s">
        <v>43</v>
      </c>
      <c r="L145" s="12" t="str">
        <f>IF(COUNTIF($A$2:A145, A145)&gt;1, "Duplicate", "Valid")</f>
        <v>Valid</v>
      </c>
      <c r="M145" s="50">
        <f t="shared" si="4"/>
        <v>4207.5</v>
      </c>
      <c r="N145" t="str">
        <f>IF(COUNTIF($A$2:A145, A145)&gt;1, "Duplicate", IF(OR(B145="NA", ISERROR(B145), ISTEXT(B145)), "Invalid Date", IF(OR(C145=0, E145=0, H145=0, I145=0, J145=0), "Missing Data", "OK")))</f>
        <v>OK</v>
      </c>
      <c r="O145" t="str">
        <f>IFERROR(INDEX(Reps!$B:$B, MATCH(K145, Reps!$A:$A, 0)), "Not Found")</f>
        <v>Karan Mehta</v>
      </c>
      <c r="P145" t="str">
        <f t="shared" si="5"/>
        <v>January</v>
      </c>
    </row>
    <row r="146" spans="1:16" x14ac:dyDescent="0.25">
      <c r="A146" t="s">
        <v>367</v>
      </c>
      <c r="B146" s="10">
        <f>IFERROR(IFERROR(INT(VALUE(Raw_Data!B146)), DATE(RIGHT(TRIM(Raw_Data!B146),4), MID(TRIM(Raw_Data!B146),4,2), LEFT(TRIM(Raw_Data!B146),2))), "NA")</f>
        <v>45970</v>
      </c>
      <c r="C146" s="12" t="s">
        <v>64</v>
      </c>
      <c r="D146" s="12" t="str">
        <f>IF(OR(LOWER(TRIM(Raw_Data!D146))="north",LOWER(TRIM(Raw_Data!D146))="n.",LOWER(SUBSTITUTE(TRIM(Raw_Data!D146)," ",""))="north"),"North",IF(OR(LOWER(TRIM(Raw_Data!D146))="south",LOWER(TRIM(Raw_Data!D146))="s."),"South",IF(OR(LOWER(TRIM(Raw_Data!D146))="east",LOWER(TRIM(Raw_Data!D146))="e."),"East",IF(OR(LOWER(TRIM(Raw_Data!D146))="west",LOWER(TRIM(Raw_Data!D146))="w."),"West",IF(OR(LOWER(TRIM(Raw_Data!D146))="central",LOWER(TRIM(Raw_Data!D146))="c."),"Central","Unknown")))))</f>
        <v>Central</v>
      </c>
      <c r="E146" s="12" t="s">
        <v>98</v>
      </c>
      <c r="F146" s="12" t="s">
        <v>99</v>
      </c>
      <c r="G146" s="12" t="s">
        <v>50</v>
      </c>
      <c r="H146" s="12">
        <f>IFERROR(VALUE(Raw_Data!H146),0)</f>
        <v>5</v>
      </c>
      <c r="I146" s="49">
        <f>IFERROR(VALUE(Raw_Data!I146),0)</f>
        <v>28000</v>
      </c>
      <c r="J146" s="12">
        <f>IFERROR(VALUE(Raw_Data!J146),0)</f>
        <v>0</v>
      </c>
      <c r="K146" s="12" t="s">
        <v>79</v>
      </c>
      <c r="L146" s="12" t="str">
        <f>IF(COUNTIF($A$2:A146, A146)&gt;1, "Duplicate", "Valid")</f>
        <v>Valid</v>
      </c>
      <c r="M146" s="50">
        <f t="shared" si="4"/>
        <v>140000</v>
      </c>
      <c r="N146" t="str">
        <f>IF(COUNTIF($A$2:A146, A146)&gt;1, "Duplicate", IF(OR(B146="NA", ISERROR(B146), ISTEXT(B146)), "Invalid Date", IF(OR(C146=0, E146=0, H146=0, I146=0, J146=0), "Missing Data", "OK")))</f>
        <v>Missing Data</v>
      </c>
      <c r="O146" t="str">
        <f>IFERROR(INDEX(Reps!$B:$B, MATCH(K146, Reps!$A:$A, 0)), "Not Found")</f>
        <v>Sneha Reddy</v>
      </c>
      <c r="P146" t="str">
        <f t="shared" si="5"/>
        <v>November</v>
      </c>
    </row>
    <row r="147" spans="1:16" x14ac:dyDescent="0.25">
      <c r="A147" t="s">
        <v>368</v>
      </c>
      <c r="B147" s="10">
        <f>IFERROR(IFERROR(INT(VALUE(Raw_Data!B147)), DATE(RIGHT(TRIM(Raw_Data!B147),4), MID(TRIM(Raw_Data!B147),4,2), LEFT(TRIM(Raw_Data!B147),2))), "NA")</f>
        <v>45942</v>
      </c>
      <c r="C147" s="12" t="s">
        <v>178</v>
      </c>
      <c r="D147" s="12" t="str">
        <f>IF(OR(LOWER(TRIM(Raw_Data!D147))="north",LOWER(TRIM(Raw_Data!D147))="n.",LOWER(SUBSTITUTE(TRIM(Raw_Data!D147)," ",""))="north"),"North",IF(OR(LOWER(TRIM(Raw_Data!D147))="south",LOWER(TRIM(Raw_Data!D147))="s."),"South",IF(OR(LOWER(TRIM(Raw_Data!D147))="east",LOWER(TRIM(Raw_Data!D147))="e."),"East",IF(OR(LOWER(TRIM(Raw_Data!D147))="west",LOWER(TRIM(Raw_Data!D147))="w."),"West",IF(OR(LOWER(TRIM(Raw_Data!D147))="central",LOWER(TRIM(Raw_Data!D147))="c."),"Central","Unknown")))))</f>
        <v>Unknown</v>
      </c>
      <c r="E147" s="12" t="s">
        <v>127</v>
      </c>
      <c r="F147" s="12" t="s">
        <v>128</v>
      </c>
      <c r="G147" s="12" t="s">
        <v>57</v>
      </c>
      <c r="H147" s="12">
        <f>IFERROR(VALUE(Raw_Data!H147),0)</f>
        <v>7</v>
      </c>
      <c r="I147" s="49">
        <f>IFERROR(VALUE(Raw_Data!I147),0)</f>
        <v>4500</v>
      </c>
      <c r="J147" s="12">
        <f>IFERROR(VALUE(Raw_Data!J147),0)</f>
        <v>0.25</v>
      </c>
      <c r="K147" s="12" t="s">
        <v>102</v>
      </c>
      <c r="L147" s="12" t="str">
        <f>IF(COUNTIF($A$2:A147, A147)&gt;1, "Duplicate", "Valid")</f>
        <v>Valid</v>
      </c>
      <c r="M147" s="50">
        <f t="shared" si="4"/>
        <v>23625</v>
      </c>
      <c r="N147" t="str">
        <f>IF(COUNTIF($A$2:A147, A147)&gt;1, "Duplicate", IF(OR(B147="NA", ISERROR(B147), ISTEXT(B147)), "Invalid Date", IF(OR(C147=0, E147=0, H147=0, I147=0, J147=0), "Missing Data", "OK")))</f>
        <v>OK</v>
      </c>
      <c r="O147" t="str">
        <f>IFERROR(INDEX(Reps!$B:$B, MATCH(K147, Reps!$A:$A, 0)), "Not Found")</f>
        <v>Anita Sharma</v>
      </c>
      <c r="P147" t="str">
        <f t="shared" si="5"/>
        <v>October</v>
      </c>
    </row>
    <row r="148" spans="1:16" x14ac:dyDescent="0.25">
      <c r="A148" t="s">
        <v>370</v>
      </c>
      <c r="B148" s="10">
        <f>IFERROR(IFERROR(INT(VALUE(Raw_Data!B148)), DATE(RIGHT(TRIM(Raw_Data!B148),4), MID(TRIM(Raw_Data!B148),4,2), LEFT(TRIM(Raw_Data!B148),2))), "NA")</f>
        <v>46081</v>
      </c>
      <c r="C148" s="12" t="s">
        <v>165</v>
      </c>
      <c r="D148" s="12" t="str">
        <f>IF(OR(LOWER(TRIM(Raw_Data!D148))="north",LOWER(TRIM(Raw_Data!D148))="n.",LOWER(SUBSTITUTE(TRIM(Raw_Data!D148)," ",""))="north"),"North",IF(OR(LOWER(TRIM(Raw_Data!D148))="south",LOWER(TRIM(Raw_Data!D148))="s."),"South",IF(OR(LOWER(TRIM(Raw_Data!D148))="east",LOWER(TRIM(Raw_Data!D148))="e."),"East",IF(OR(LOWER(TRIM(Raw_Data!D148))="west",LOWER(TRIM(Raw_Data!D148))="w."),"West",IF(OR(LOWER(TRIM(Raw_Data!D148))="central",LOWER(TRIM(Raw_Data!D148))="c."),"Central","Unknown")))))</f>
        <v>Central</v>
      </c>
      <c r="E148" s="12" t="s">
        <v>89</v>
      </c>
      <c r="F148" s="12" t="s">
        <v>90</v>
      </c>
      <c r="G148" s="12" t="s">
        <v>91</v>
      </c>
      <c r="H148" s="12">
        <f>IFERROR(VALUE(Raw_Data!H148),0)</f>
        <v>3</v>
      </c>
      <c r="I148" s="49">
        <f>IFERROR(VALUE(Raw_Data!I148),0)</f>
        <v>2200</v>
      </c>
      <c r="J148" s="12">
        <f>IFERROR(VALUE(Raw_Data!J148),0)</f>
        <v>0.05</v>
      </c>
      <c r="K148" s="12" t="s">
        <v>102</v>
      </c>
      <c r="L148" s="12" t="str">
        <f>IF(COUNTIF($A$2:A148, A148)&gt;1, "Duplicate", "Valid")</f>
        <v>Valid</v>
      </c>
      <c r="M148" s="50">
        <f t="shared" si="4"/>
        <v>6270</v>
      </c>
      <c r="N148" t="str">
        <f>IF(COUNTIF($A$2:A148, A148)&gt;1, "Duplicate", IF(OR(B148="NA", ISERROR(B148), ISTEXT(B148)), "Invalid Date", IF(OR(C148=0, E148=0, H148=0, I148=0, J148=0), "Missing Data", "OK")))</f>
        <v>OK</v>
      </c>
      <c r="O148" t="str">
        <f>IFERROR(INDEX(Reps!$B:$B, MATCH(K148, Reps!$A:$A, 0)), "Not Found")</f>
        <v>Anita Sharma</v>
      </c>
      <c r="P148" t="str">
        <f t="shared" si="5"/>
        <v>February</v>
      </c>
    </row>
    <row r="149" spans="1:16" x14ac:dyDescent="0.25">
      <c r="A149" t="s">
        <v>371</v>
      </c>
      <c r="B149" s="10">
        <f>IFERROR(IFERROR(INT(VALUE(Raw_Data!B149)), DATE(RIGHT(TRIM(Raw_Data!B149),4), MID(TRIM(Raw_Data!B149),4,2), LEFT(TRIM(Raw_Data!B149),2))), "NA")</f>
        <v>46050</v>
      </c>
      <c r="C149" s="12" t="s">
        <v>131</v>
      </c>
      <c r="D149" s="12" t="str">
        <f>IF(OR(LOWER(TRIM(Raw_Data!D149))="north",LOWER(TRIM(Raw_Data!D149))="n.",LOWER(SUBSTITUTE(TRIM(Raw_Data!D149)," ",""))="north"),"North",IF(OR(LOWER(TRIM(Raw_Data!D149))="south",LOWER(TRIM(Raw_Data!D149))="s."),"South",IF(OR(LOWER(TRIM(Raw_Data!D149))="east",LOWER(TRIM(Raw_Data!D149))="e."),"East",IF(OR(LOWER(TRIM(Raw_Data!D149))="west",LOWER(TRIM(Raw_Data!D149))="w."),"West",IF(OR(LOWER(TRIM(Raw_Data!D149))="central",LOWER(TRIM(Raw_Data!D149))="c."),"Central","Unknown")))))</f>
        <v>East</v>
      </c>
      <c r="E149" s="12" t="s">
        <v>40</v>
      </c>
      <c r="F149" s="12" t="s">
        <v>41</v>
      </c>
      <c r="G149" s="12" t="s">
        <v>42</v>
      </c>
      <c r="H149" s="12">
        <f>IFERROR(VALUE(Raw_Data!H149),0)</f>
        <v>12</v>
      </c>
      <c r="I149" s="49">
        <f>IFERROR(VALUE(Raw_Data!I149),0)</f>
        <v>450</v>
      </c>
      <c r="J149" s="12">
        <f>IFERROR(VALUE(Raw_Data!J149),0)</f>
        <v>0</v>
      </c>
      <c r="K149" s="12" t="s">
        <v>70</v>
      </c>
      <c r="L149" s="12" t="str">
        <f>IF(COUNTIF($A$2:A149, A149)&gt;1, "Duplicate", "Valid")</f>
        <v>Valid</v>
      </c>
      <c r="M149" s="50">
        <f t="shared" si="4"/>
        <v>5400</v>
      </c>
      <c r="N149" t="str">
        <f>IF(COUNTIF($A$2:A149, A149)&gt;1, "Duplicate", IF(OR(B149="NA", ISERROR(B149), ISTEXT(B149)), "Invalid Date", IF(OR(C149=0, E149=0, H149=0, I149=0, J149=0), "Missing Data", "OK")))</f>
        <v>Missing Data</v>
      </c>
      <c r="O149" t="str">
        <f>IFERROR(INDEX(Reps!$B:$B, MATCH(K149, Reps!$A:$A, 0)), "Not Found")</f>
        <v>Vikram Nair</v>
      </c>
      <c r="P149" t="str">
        <f t="shared" si="5"/>
        <v>January</v>
      </c>
    </row>
    <row r="150" spans="1:16" x14ac:dyDescent="0.25">
      <c r="A150" t="s">
        <v>373</v>
      </c>
      <c r="B150" s="10">
        <f>IFERROR(IFERROR(INT(VALUE(Raw_Data!B150)), DATE(RIGHT(TRIM(Raw_Data!B150),4), MID(TRIM(Raw_Data!B150),4,2), LEFT(TRIM(Raw_Data!B150),2))), "NA")</f>
        <v>46097</v>
      </c>
      <c r="C150" s="12" t="s">
        <v>93</v>
      </c>
      <c r="D150" s="12" t="str">
        <f>IF(OR(LOWER(TRIM(Raw_Data!D150))="north",LOWER(TRIM(Raw_Data!D150))="n.",LOWER(SUBSTITUTE(TRIM(Raw_Data!D150)," ",""))="north"),"North",IF(OR(LOWER(TRIM(Raw_Data!D150))="south",LOWER(TRIM(Raw_Data!D150))="s."),"South",IF(OR(LOWER(TRIM(Raw_Data!D150))="east",LOWER(TRIM(Raw_Data!D150))="e."),"East",IF(OR(LOWER(TRIM(Raw_Data!D150))="west",LOWER(TRIM(Raw_Data!D150))="w."),"West",IF(OR(LOWER(TRIM(Raw_Data!D150))="central",LOWER(TRIM(Raw_Data!D150))="c."),"Central","Unknown")))))</f>
        <v>East</v>
      </c>
      <c r="E150" s="12" t="s">
        <v>77</v>
      </c>
      <c r="F150" s="12" t="s">
        <v>78</v>
      </c>
      <c r="G150" s="12" t="s">
        <v>57</v>
      </c>
      <c r="H150" s="12">
        <f>IFERROR(VALUE(Raw_Data!H150),0)</f>
        <v>1</v>
      </c>
      <c r="I150" s="49">
        <f>IFERROR(VALUE(Raw_Data!I150),0)</f>
        <v>3500</v>
      </c>
      <c r="J150" s="12">
        <f>IFERROR(VALUE(Raw_Data!J150),0)</f>
        <v>0.15</v>
      </c>
      <c r="K150" s="12" t="s">
        <v>74</v>
      </c>
      <c r="L150" s="12" t="str">
        <f>IF(COUNTIF($A$2:A150, A150)&gt;1, "Duplicate", "Valid")</f>
        <v>Valid</v>
      </c>
      <c r="M150" s="50">
        <f t="shared" si="4"/>
        <v>2975</v>
      </c>
      <c r="N150" t="str">
        <f>IF(COUNTIF($A$2:A150, A150)&gt;1, "Duplicate", IF(OR(B150="NA", ISERROR(B150), ISTEXT(B150)), "Invalid Date", IF(OR(C150=0, E150=0, H150=0, I150=0, J150=0), "Missing Data", "OK")))</f>
        <v>OK</v>
      </c>
      <c r="O150" t="str">
        <f>IFERROR(INDEX(Reps!$B:$B, MATCH(K150, Reps!$A:$A, 0)), "Not Found")</f>
        <v>Rahul Verma</v>
      </c>
      <c r="P150" t="str">
        <f t="shared" si="5"/>
        <v>March</v>
      </c>
    </row>
    <row r="151" spans="1:16" x14ac:dyDescent="0.25">
      <c r="A151" t="s">
        <v>375</v>
      </c>
      <c r="B151" s="10">
        <f>IFERROR(IFERROR(INT(VALUE(Raw_Data!B151)), DATE(RIGHT(TRIM(Raw_Data!B151),4), MID(TRIM(Raw_Data!B151),4,2), LEFT(TRIM(Raw_Data!B151),2))), "NA")</f>
        <v>45993</v>
      </c>
      <c r="C151" s="12" t="s">
        <v>165</v>
      </c>
      <c r="D151" s="12" t="str">
        <f>IF(OR(LOWER(TRIM(Raw_Data!D151))="north",LOWER(TRIM(Raw_Data!D151))="n.",LOWER(SUBSTITUTE(TRIM(Raw_Data!D151)," ",""))="north"),"North",IF(OR(LOWER(TRIM(Raw_Data!D151))="south",LOWER(TRIM(Raw_Data!D151))="s."),"South",IF(OR(LOWER(TRIM(Raw_Data!D151))="east",LOWER(TRIM(Raw_Data!D151))="e."),"East",IF(OR(LOWER(TRIM(Raw_Data!D151))="west",LOWER(TRIM(Raw_Data!D151))="w."),"West",IF(OR(LOWER(TRIM(Raw_Data!D151))="central",LOWER(TRIM(Raw_Data!D151))="c."),"Central","Unknown")))))</f>
        <v>West</v>
      </c>
      <c r="E151" s="12" t="s">
        <v>135</v>
      </c>
      <c r="F151" s="12" t="s">
        <v>136</v>
      </c>
      <c r="G151" s="12" t="s">
        <v>50</v>
      </c>
      <c r="H151" s="12">
        <f>IFERROR(VALUE(Raw_Data!H151),0)</f>
        <v>9</v>
      </c>
      <c r="I151" s="49">
        <f>IFERROR(VALUE(Raw_Data!I151),0)</f>
        <v>9500</v>
      </c>
      <c r="J151" s="12">
        <f>IFERROR(VALUE(Raw_Data!J151),0)</f>
        <v>0.25</v>
      </c>
      <c r="K151" s="12" t="s">
        <v>70</v>
      </c>
      <c r="L151" s="12" t="str">
        <f>IF(COUNTIF($A$2:A151, A151)&gt;1, "Duplicate", "Valid")</f>
        <v>Valid</v>
      </c>
      <c r="M151" s="50">
        <f t="shared" si="4"/>
        <v>64125</v>
      </c>
      <c r="N151" t="str">
        <f>IF(COUNTIF($A$2:A151, A151)&gt;1, "Duplicate", IF(OR(B151="NA", ISERROR(B151), ISTEXT(B151)), "Invalid Date", IF(OR(C151=0, E151=0, H151=0, I151=0, J151=0), "Missing Data", "OK")))</f>
        <v>OK</v>
      </c>
      <c r="O151" t="str">
        <f>IFERROR(INDEX(Reps!$B:$B, MATCH(K151, Reps!$A:$A, 0)), "Not Found")</f>
        <v>Vikram Nair</v>
      </c>
      <c r="P151" t="str">
        <f t="shared" si="5"/>
        <v>December</v>
      </c>
    </row>
    <row r="152" spans="1:16" x14ac:dyDescent="0.25">
      <c r="A152" t="s">
        <v>377</v>
      </c>
      <c r="B152" s="10">
        <f>IFERROR(IFERROR(INT(VALUE(Raw_Data!B152)), DATE(RIGHT(TRIM(Raw_Data!B152),4), MID(TRIM(Raw_Data!B152),4,2), LEFT(TRIM(Raw_Data!B152),2))), "NA")</f>
        <v>46091</v>
      </c>
      <c r="C152" s="12" t="s">
        <v>314</v>
      </c>
      <c r="D152" s="12" t="str">
        <f>IF(OR(LOWER(TRIM(Raw_Data!D152))="north",LOWER(TRIM(Raw_Data!D152))="n.",LOWER(SUBSTITUTE(TRIM(Raw_Data!D152)," ",""))="north"),"North",IF(OR(LOWER(TRIM(Raw_Data!D152))="south",LOWER(TRIM(Raw_Data!D152))="s."),"South",IF(OR(LOWER(TRIM(Raw_Data!D152))="east",LOWER(TRIM(Raw_Data!D152))="e."),"East",IF(OR(LOWER(TRIM(Raw_Data!D152))="west",LOWER(TRIM(Raw_Data!D152))="w."),"West",IF(OR(LOWER(TRIM(Raw_Data!D152))="central",LOWER(TRIM(Raw_Data!D152))="c."),"Central","Unknown")))))</f>
        <v>East</v>
      </c>
      <c r="E152" s="12" t="s">
        <v>77</v>
      </c>
      <c r="F152" s="12" t="s">
        <v>78</v>
      </c>
      <c r="G152" s="12" t="s">
        <v>57</v>
      </c>
      <c r="H152" s="12">
        <f>IFERROR(VALUE(Raw_Data!H152),0)</f>
        <v>1</v>
      </c>
      <c r="I152" s="49">
        <f>IFERROR(VALUE(Raw_Data!I152),0)</f>
        <v>3500</v>
      </c>
      <c r="J152" s="12">
        <f>IFERROR(VALUE(Raw_Data!J152),0)</f>
        <v>0.25</v>
      </c>
      <c r="K152" s="12" t="s">
        <v>51</v>
      </c>
      <c r="L152" s="12" t="str">
        <f>IF(COUNTIF($A$2:A152, A152)&gt;1, "Duplicate", "Valid")</f>
        <v>Valid</v>
      </c>
      <c r="M152" s="50">
        <f t="shared" si="4"/>
        <v>2625</v>
      </c>
      <c r="N152" t="str">
        <f>IF(COUNTIF($A$2:A152, A152)&gt;1, "Duplicate", IF(OR(B152="NA", ISERROR(B152), ISTEXT(B152)), "Invalid Date", IF(OR(C152=0, E152=0, H152=0, I152=0, J152=0), "Missing Data", "OK")))</f>
        <v>OK</v>
      </c>
      <c r="O152" t="str">
        <f>IFERROR(INDEX(Reps!$B:$B, MATCH(K152, Reps!$A:$A, 0)), "Not Found")</f>
        <v>Priya Iyer</v>
      </c>
      <c r="P152" t="str">
        <f t="shared" si="5"/>
        <v>March</v>
      </c>
    </row>
    <row r="153" spans="1:16" x14ac:dyDescent="0.25">
      <c r="A153" t="s">
        <v>378</v>
      </c>
      <c r="B153" s="10">
        <f>IFERROR(IFERROR(INT(VALUE(Raw_Data!B153)), DATE(RIGHT(TRIM(Raw_Data!B153),4), MID(TRIM(Raw_Data!B153),4,2), LEFT(TRIM(Raw_Data!B153),2))), "NA")</f>
        <v>46061</v>
      </c>
      <c r="C153" s="12" t="s">
        <v>68</v>
      </c>
      <c r="D153" s="12" t="str">
        <f>IF(OR(LOWER(TRIM(Raw_Data!D153))="north",LOWER(TRIM(Raw_Data!D153))="n.",LOWER(SUBSTITUTE(TRIM(Raw_Data!D153)," ",""))="north"),"North",IF(OR(LOWER(TRIM(Raw_Data!D153))="south",LOWER(TRIM(Raw_Data!D153))="s."),"South",IF(OR(LOWER(TRIM(Raw_Data!D153))="east",LOWER(TRIM(Raw_Data!D153))="e."),"East",IF(OR(LOWER(TRIM(Raw_Data!D153))="west",LOWER(TRIM(Raw_Data!D153))="w."),"West",IF(OR(LOWER(TRIM(Raw_Data!D153))="central",LOWER(TRIM(Raw_Data!D153))="c."),"Central","Unknown")))))</f>
        <v>East</v>
      </c>
      <c r="E153" s="12" t="s">
        <v>111</v>
      </c>
      <c r="F153" s="12" t="s">
        <v>112</v>
      </c>
      <c r="G153" s="12" t="s">
        <v>57</v>
      </c>
      <c r="H153" s="12">
        <f>IFERROR(VALUE(Raw_Data!H153),0)</f>
        <v>12</v>
      </c>
      <c r="I153" s="49">
        <f>IFERROR(VALUE(Raw_Data!I153),0)</f>
        <v>18000</v>
      </c>
      <c r="J153" s="12">
        <f>IFERROR(VALUE(Raw_Data!J153),0)</f>
        <v>0.2</v>
      </c>
      <c r="K153" s="12" t="s">
        <v>74</v>
      </c>
      <c r="L153" s="12" t="str">
        <f>IF(COUNTIF($A$2:A153, A153)&gt;1, "Duplicate", "Valid")</f>
        <v>Valid</v>
      </c>
      <c r="M153" s="50">
        <f t="shared" si="4"/>
        <v>172800</v>
      </c>
      <c r="N153" t="str">
        <f>IF(COUNTIF($A$2:A153, A153)&gt;1, "Duplicate", IF(OR(B153="NA", ISERROR(B153), ISTEXT(B153)), "Invalid Date", IF(OR(C153=0, E153=0, H153=0, I153=0, J153=0), "Missing Data", "OK")))</f>
        <v>OK</v>
      </c>
      <c r="O153" t="str">
        <f>IFERROR(INDEX(Reps!$B:$B, MATCH(K153, Reps!$A:$A, 0)), "Not Found")</f>
        <v>Rahul Verma</v>
      </c>
      <c r="P153" t="str">
        <f t="shared" si="5"/>
        <v>February</v>
      </c>
    </row>
    <row r="154" spans="1:16" x14ac:dyDescent="0.25">
      <c r="A154" t="s">
        <v>379</v>
      </c>
      <c r="B154" s="10">
        <f>IFERROR(IFERROR(INT(VALUE(Raw_Data!B154)), DATE(RIGHT(TRIM(Raw_Data!B154),4), MID(TRIM(Raw_Data!B154),4,2), LEFT(TRIM(Raw_Data!B154),2))), "NA")</f>
        <v>45971</v>
      </c>
      <c r="C154" s="12" t="s">
        <v>53</v>
      </c>
      <c r="D154" s="12" t="str">
        <f>IF(OR(LOWER(TRIM(Raw_Data!D154))="north",LOWER(TRIM(Raw_Data!D154))="n.",LOWER(SUBSTITUTE(TRIM(Raw_Data!D154)," ",""))="north"),"North",IF(OR(LOWER(TRIM(Raw_Data!D154))="south",LOWER(TRIM(Raw_Data!D154))="s."),"South",IF(OR(LOWER(TRIM(Raw_Data!D154))="east",LOWER(TRIM(Raw_Data!D154))="e."),"East",IF(OR(LOWER(TRIM(Raw_Data!D154))="west",LOWER(TRIM(Raw_Data!D154))="w."),"West",IF(OR(LOWER(TRIM(Raw_Data!D154))="central",LOWER(TRIM(Raw_Data!D154))="c."),"Central","Unknown")))))</f>
        <v>East</v>
      </c>
      <c r="E154" s="12" t="s">
        <v>98</v>
      </c>
      <c r="F154" s="12" t="s">
        <v>99</v>
      </c>
      <c r="G154" s="12" t="s">
        <v>50</v>
      </c>
      <c r="H154" s="12">
        <f>IFERROR(VALUE(Raw_Data!H154),0)</f>
        <v>12</v>
      </c>
      <c r="I154" s="49">
        <f>IFERROR(VALUE(Raw_Data!I154),0)</f>
        <v>28000</v>
      </c>
      <c r="J154" s="12">
        <f>IFERROR(VALUE(Raw_Data!J154),0)</f>
        <v>0.05</v>
      </c>
      <c r="K154" s="12" t="s">
        <v>43</v>
      </c>
      <c r="L154" s="12" t="str">
        <f>IF(COUNTIF($A$2:A154, A154)&gt;1, "Duplicate", "Valid")</f>
        <v>Valid</v>
      </c>
      <c r="M154" s="50">
        <f t="shared" si="4"/>
        <v>319200</v>
      </c>
      <c r="N154" t="str">
        <f>IF(COUNTIF($A$2:A154, A154)&gt;1, "Duplicate", IF(OR(B154="NA", ISERROR(B154), ISTEXT(B154)), "Invalid Date", IF(OR(C154=0, E154=0, H154=0, I154=0, J154=0), "Missing Data", "OK")))</f>
        <v>OK</v>
      </c>
      <c r="O154" t="str">
        <f>IFERROR(INDEX(Reps!$B:$B, MATCH(K154, Reps!$A:$A, 0)), "Not Found")</f>
        <v>Karan Mehta</v>
      </c>
      <c r="P154" t="str">
        <f t="shared" si="5"/>
        <v>November</v>
      </c>
    </row>
    <row r="155" spans="1:16" x14ac:dyDescent="0.25">
      <c r="A155" t="s">
        <v>381</v>
      </c>
      <c r="B155" s="10">
        <f>IFERROR(IFERROR(INT(VALUE(Raw_Data!B155)), DATE(RIGHT(TRIM(Raw_Data!B155),4), MID(TRIM(Raw_Data!B155),4,2), LEFT(TRIM(Raw_Data!B155),2))), "NA")</f>
        <v>45978</v>
      </c>
      <c r="C155" s="12" t="s">
        <v>60</v>
      </c>
      <c r="D155" s="12" t="str">
        <f>IF(OR(LOWER(TRIM(Raw_Data!D155))="north",LOWER(TRIM(Raw_Data!D155))="n.",LOWER(SUBSTITUTE(TRIM(Raw_Data!D155)," ",""))="north"),"North",IF(OR(LOWER(TRIM(Raw_Data!D155))="south",LOWER(TRIM(Raw_Data!D155))="s."),"South",IF(OR(LOWER(TRIM(Raw_Data!D155))="east",LOWER(TRIM(Raw_Data!D155))="e."),"East",IF(OR(LOWER(TRIM(Raw_Data!D155))="west",LOWER(TRIM(Raw_Data!D155))="w."),"West",IF(OR(LOWER(TRIM(Raw_Data!D155))="central",LOWER(TRIM(Raw_Data!D155))="c."),"Central","Unknown")))))</f>
        <v>East</v>
      </c>
      <c r="E155" s="12" t="s">
        <v>135</v>
      </c>
      <c r="F155" s="12" t="s">
        <v>136</v>
      </c>
      <c r="G155" s="12" t="s">
        <v>50</v>
      </c>
      <c r="H155" s="12">
        <f>IFERROR(VALUE(Raw_Data!H155),0)</f>
        <v>10</v>
      </c>
      <c r="I155" s="49">
        <f>IFERROR(VALUE(Raw_Data!I155),0)</f>
        <v>9500</v>
      </c>
      <c r="J155" s="12">
        <f>IFERROR(VALUE(Raw_Data!J155),0)</f>
        <v>0.05</v>
      </c>
      <c r="K155" s="12" t="s">
        <v>70</v>
      </c>
      <c r="L155" s="12" t="str">
        <f>IF(COUNTIF($A$2:A155, A155)&gt;1, "Duplicate", "Valid")</f>
        <v>Valid</v>
      </c>
      <c r="M155" s="50">
        <f t="shared" si="4"/>
        <v>90250</v>
      </c>
      <c r="N155" t="str">
        <f>IF(COUNTIF($A$2:A155, A155)&gt;1, "Duplicate", IF(OR(B155="NA", ISERROR(B155), ISTEXT(B155)), "Invalid Date", IF(OR(C155=0, E155=0, H155=0, I155=0, J155=0), "Missing Data", "OK")))</f>
        <v>OK</v>
      </c>
      <c r="O155" t="str">
        <f>IFERROR(INDEX(Reps!$B:$B, MATCH(K155, Reps!$A:$A, 0)), "Not Found")</f>
        <v>Vikram Nair</v>
      </c>
      <c r="P155" t="str">
        <f t="shared" si="5"/>
        <v>November</v>
      </c>
    </row>
    <row r="156" spans="1:16" x14ac:dyDescent="0.25">
      <c r="A156" t="s">
        <v>383</v>
      </c>
      <c r="B156" s="10">
        <f>IFERROR(IFERROR(INT(VALUE(Raw_Data!B156)), DATE(RIGHT(TRIM(Raw_Data!B156),4), MID(TRIM(Raw_Data!B156),4,2), LEFT(TRIM(Raw_Data!B156),2))), "NA")</f>
        <v>45975</v>
      </c>
      <c r="C156" s="12" t="s">
        <v>217</v>
      </c>
      <c r="D156" s="12" t="str">
        <f>IF(OR(LOWER(TRIM(Raw_Data!D156))="north",LOWER(TRIM(Raw_Data!D156))="n.",LOWER(SUBSTITUTE(TRIM(Raw_Data!D156)," ",""))="north"),"North",IF(OR(LOWER(TRIM(Raw_Data!D156))="south",LOWER(TRIM(Raw_Data!D156))="s."),"South",IF(OR(LOWER(TRIM(Raw_Data!D156))="east",LOWER(TRIM(Raw_Data!D156))="e."),"East",IF(OR(LOWER(TRIM(Raw_Data!D156))="west",LOWER(TRIM(Raw_Data!D156))="w."),"West",IF(OR(LOWER(TRIM(Raw_Data!D156))="central",LOWER(TRIM(Raw_Data!D156))="c."),"Central","Unknown")))))</f>
        <v>East</v>
      </c>
      <c r="E156" s="12" t="s">
        <v>40</v>
      </c>
      <c r="F156" s="12" t="s">
        <v>41</v>
      </c>
      <c r="G156" s="12" t="s">
        <v>42</v>
      </c>
      <c r="H156" s="12">
        <f>IFERROR(VALUE(Raw_Data!H156),0)</f>
        <v>2</v>
      </c>
      <c r="I156" s="49">
        <f>IFERROR(VALUE(Raw_Data!I156),0)</f>
        <v>450</v>
      </c>
      <c r="J156" s="12">
        <f>IFERROR(VALUE(Raw_Data!J156),0)</f>
        <v>0.2</v>
      </c>
      <c r="K156" s="12" t="s">
        <v>74</v>
      </c>
      <c r="L156" s="12" t="str">
        <f>IF(COUNTIF($A$2:A156, A156)&gt;1, "Duplicate", "Valid")</f>
        <v>Valid</v>
      </c>
      <c r="M156" s="50">
        <f t="shared" si="4"/>
        <v>720</v>
      </c>
      <c r="N156" t="str">
        <f>IF(COUNTIF($A$2:A156, A156)&gt;1, "Duplicate", IF(OR(B156="NA", ISERROR(B156), ISTEXT(B156)), "Invalid Date", IF(OR(C156=0, E156=0, H156=0, I156=0, J156=0), "Missing Data", "OK")))</f>
        <v>OK</v>
      </c>
      <c r="O156" t="str">
        <f>IFERROR(INDEX(Reps!$B:$B, MATCH(K156, Reps!$A:$A, 0)), "Not Found")</f>
        <v>Rahul Verma</v>
      </c>
      <c r="P156" t="str">
        <f t="shared" si="5"/>
        <v>November</v>
      </c>
    </row>
    <row r="157" spans="1:16" x14ac:dyDescent="0.25">
      <c r="A157" t="s">
        <v>385</v>
      </c>
      <c r="B157" s="10">
        <f>IFERROR(IFERROR(INT(VALUE(Raw_Data!B157)), DATE(RIGHT(TRIM(Raw_Data!B157),4), MID(TRIM(Raw_Data!B157),4,2), LEFT(TRIM(Raw_Data!B157),2))), "NA")</f>
        <v>46235</v>
      </c>
      <c r="C157" s="12" t="s">
        <v>235</v>
      </c>
      <c r="D157" s="12" t="str">
        <f>IF(OR(LOWER(TRIM(Raw_Data!D157))="north",LOWER(TRIM(Raw_Data!D157))="n.",LOWER(SUBSTITUTE(TRIM(Raw_Data!D157)," ",""))="north"),"North",IF(OR(LOWER(TRIM(Raw_Data!D157))="south",LOWER(TRIM(Raw_Data!D157))="s."),"South",IF(OR(LOWER(TRIM(Raw_Data!D157))="east",LOWER(TRIM(Raw_Data!D157))="e."),"East",IF(OR(LOWER(TRIM(Raw_Data!D157))="west",LOWER(TRIM(Raw_Data!D157))="w."),"West",IF(OR(LOWER(TRIM(Raw_Data!D157))="central",LOWER(TRIM(Raw_Data!D157))="c."),"Central","Unknown")))))</f>
        <v>West</v>
      </c>
      <c r="E157" s="12" t="s">
        <v>77</v>
      </c>
      <c r="F157" s="12" t="s">
        <v>78</v>
      </c>
      <c r="G157" s="12" t="s">
        <v>57</v>
      </c>
      <c r="H157" s="12">
        <f>IFERROR(VALUE(Raw_Data!H157),0)</f>
        <v>2</v>
      </c>
      <c r="I157" s="49">
        <f>IFERROR(VALUE(Raw_Data!I157),0)</f>
        <v>0</v>
      </c>
      <c r="J157" s="12">
        <f>IFERROR(VALUE(Raw_Data!J157),0)</f>
        <v>0.1</v>
      </c>
      <c r="K157" s="12" t="s">
        <v>70</v>
      </c>
      <c r="L157" s="12" t="str">
        <f>IF(COUNTIF($A$2:A157, A157)&gt;1, "Duplicate", "Valid")</f>
        <v>Valid</v>
      </c>
      <c r="M157" s="50">
        <f t="shared" si="4"/>
        <v>0</v>
      </c>
      <c r="N157" t="str">
        <f>IF(COUNTIF($A$2:A157, A157)&gt;1, "Duplicate", IF(OR(B157="NA", ISERROR(B157), ISTEXT(B157)), "Invalid Date", IF(OR(C157=0, E157=0, H157=0, I157=0, J157=0), "Missing Data", "OK")))</f>
        <v>Missing Data</v>
      </c>
      <c r="O157" t="str">
        <f>IFERROR(INDEX(Reps!$B:$B, MATCH(K157, Reps!$A:$A, 0)), "Not Found")</f>
        <v>Vikram Nair</v>
      </c>
      <c r="P157" t="str">
        <f t="shared" si="5"/>
        <v>August</v>
      </c>
    </row>
    <row r="158" spans="1:16" x14ac:dyDescent="0.25">
      <c r="A158" t="s">
        <v>387</v>
      </c>
      <c r="B158" s="10">
        <f>IFERROR(IFERROR(INT(VALUE(Raw_Data!B158)), DATE(RIGHT(TRIM(Raw_Data!B158),4), MID(TRIM(Raw_Data!B158),4,2), LEFT(TRIM(Raw_Data!B158),2))), "NA")</f>
        <v>46123</v>
      </c>
      <c r="C158" s="12" t="s">
        <v>144</v>
      </c>
      <c r="D158" s="12" t="str">
        <f>IF(OR(LOWER(TRIM(Raw_Data!D158))="north",LOWER(TRIM(Raw_Data!D158))="n.",LOWER(SUBSTITUTE(TRIM(Raw_Data!D158)," ",""))="north"),"North",IF(OR(LOWER(TRIM(Raw_Data!D158))="south",LOWER(TRIM(Raw_Data!D158))="s."),"South",IF(OR(LOWER(TRIM(Raw_Data!D158))="east",LOWER(TRIM(Raw_Data!D158))="e."),"East",IF(OR(LOWER(TRIM(Raw_Data!D158))="west",LOWER(TRIM(Raw_Data!D158))="w."),"West",IF(OR(LOWER(TRIM(Raw_Data!D158))="central",LOWER(TRIM(Raw_Data!D158))="c."),"Central","Unknown")))))</f>
        <v>East</v>
      </c>
      <c r="E158" s="12" t="s">
        <v>89</v>
      </c>
      <c r="F158" s="12" t="s">
        <v>90</v>
      </c>
      <c r="G158" s="12" t="s">
        <v>91</v>
      </c>
      <c r="H158" s="12">
        <f>IFERROR(VALUE(Raw_Data!H158),0)</f>
        <v>12</v>
      </c>
      <c r="I158" s="49">
        <f>IFERROR(VALUE(Raw_Data!I158),0)</f>
        <v>0</v>
      </c>
      <c r="J158" s="12">
        <f>IFERROR(VALUE(Raw_Data!J158),0)</f>
        <v>0.25</v>
      </c>
      <c r="K158" s="12" t="s">
        <v>43</v>
      </c>
      <c r="L158" s="12" t="str">
        <f>IF(COUNTIF($A$2:A158, A158)&gt;1, "Duplicate", "Valid")</f>
        <v>Valid</v>
      </c>
      <c r="M158" s="50">
        <f t="shared" si="4"/>
        <v>0</v>
      </c>
      <c r="N158" t="str">
        <f>IF(COUNTIF($A$2:A158, A158)&gt;1, "Duplicate", IF(OR(B158="NA", ISERROR(B158), ISTEXT(B158)), "Invalid Date", IF(OR(C158=0, E158=0, H158=0, I158=0, J158=0), "Missing Data", "OK")))</f>
        <v>Missing Data</v>
      </c>
      <c r="O158" t="str">
        <f>IFERROR(INDEX(Reps!$B:$B, MATCH(K158, Reps!$A:$A, 0)), "Not Found")</f>
        <v>Karan Mehta</v>
      </c>
      <c r="P158" t="str">
        <f t="shared" si="5"/>
        <v>April</v>
      </c>
    </row>
    <row r="159" spans="1:16" x14ac:dyDescent="0.25">
      <c r="A159" t="s">
        <v>388</v>
      </c>
      <c r="B159" s="10">
        <f>IFERROR(IFERROR(INT(VALUE(Raw_Data!B159)), DATE(RIGHT(TRIM(Raw_Data!B159),4), MID(TRIM(Raw_Data!B159),4,2), LEFT(TRIM(Raw_Data!B159),2))), "NA")</f>
        <v>46008</v>
      </c>
      <c r="C159" s="12" t="s">
        <v>88</v>
      </c>
      <c r="D159" s="12" t="str">
        <f>IF(OR(LOWER(TRIM(Raw_Data!D159))="north",LOWER(TRIM(Raw_Data!D159))="n.",LOWER(SUBSTITUTE(TRIM(Raw_Data!D159)," ",""))="north"),"North",IF(OR(LOWER(TRIM(Raw_Data!D159))="south",LOWER(TRIM(Raw_Data!D159))="s."),"South",IF(OR(LOWER(TRIM(Raw_Data!D159))="east",LOWER(TRIM(Raw_Data!D159))="e."),"East",IF(OR(LOWER(TRIM(Raw_Data!D159))="west",LOWER(TRIM(Raw_Data!D159))="w."),"West",IF(OR(LOWER(TRIM(Raw_Data!D159))="central",LOWER(TRIM(Raw_Data!D159))="c."),"Central","Unknown")))))</f>
        <v>East</v>
      </c>
      <c r="E159" s="12" t="s">
        <v>120</v>
      </c>
      <c r="F159" s="12" t="s">
        <v>121</v>
      </c>
      <c r="G159" s="12" t="s">
        <v>42</v>
      </c>
      <c r="H159" s="12">
        <f>IFERROR(VALUE(Raw_Data!H159),0)</f>
        <v>6</v>
      </c>
      <c r="I159" s="49">
        <f>IFERROR(VALUE(Raw_Data!I159),0)</f>
        <v>250</v>
      </c>
      <c r="J159" s="12">
        <f>IFERROR(VALUE(Raw_Data!J159),0)</f>
        <v>0.25</v>
      </c>
      <c r="K159" s="12" t="s">
        <v>102</v>
      </c>
      <c r="L159" s="12" t="str">
        <f>IF(COUNTIF($A$2:A159, A159)&gt;1, "Duplicate", "Valid")</f>
        <v>Valid</v>
      </c>
      <c r="M159" s="50">
        <f t="shared" si="4"/>
        <v>1125</v>
      </c>
      <c r="N159" t="str">
        <f>IF(COUNTIF($A$2:A159, A159)&gt;1, "Duplicate", IF(OR(B159="NA", ISERROR(B159), ISTEXT(B159)), "Invalid Date", IF(OR(C159=0, E159=0, H159=0, I159=0, J159=0), "Missing Data", "OK")))</f>
        <v>OK</v>
      </c>
      <c r="O159" t="str">
        <f>IFERROR(INDEX(Reps!$B:$B, MATCH(K159, Reps!$A:$A, 0)), "Not Found")</f>
        <v>Anita Sharma</v>
      </c>
      <c r="P159" t="str">
        <f t="shared" si="5"/>
        <v>December</v>
      </c>
    </row>
    <row r="160" spans="1:16" x14ac:dyDescent="0.25">
      <c r="A160" t="s">
        <v>293</v>
      </c>
      <c r="B160" s="10">
        <f>IFERROR(IFERROR(INT(VALUE(Raw_Data!B160)), DATE(RIGHT(TRIM(Raw_Data!B160),4), MID(TRIM(Raw_Data!B160),4,2), LEFT(TRIM(Raw_Data!B160),2))), "NA")</f>
        <v>46084</v>
      </c>
      <c r="C160" s="12" t="s">
        <v>226</v>
      </c>
      <c r="D160" s="12" t="str">
        <f>IF(OR(LOWER(TRIM(Raw_Data!D160))="north",LOWER(TRIM(Raw_Data!D160))="n.",LOWER(SUBSTITUTE(TRIM(Raw_Data!D160)," ",""))="north"),"North",IF(OR(LOWER(TRIM(Raw_Data!D160))="south",LOWER(TRIM(Raw_Data!D160))="s."),"South",IF(OR(LOWER(TRIM(Raw_Data!D160))="east",LOWER(TRIM(Raw_Data!D160))="e."),"East",IF(OR(LOWER(TRIM(Raw_Data!D160))="west",LOWER(TRIM(Raw_Data!D160))="w."),"West",IF(OR(LOWER(TRIM(Raw_Data!D160))="central",LOWER(TRIM(Raw_Data!D160))="c."),"Central","Unknown")))))</f>
        <v>West</v>
      </c>
      <c r="E160" s="12" t="s">
        <v>55</v>
      </c>
      <c r="F160" s="12" t="s">
        <v>56</v>
      </c>
      <c r="G160" s="12" t="s">
        <v>57</v>
      </c>
      <c r="H160" s="12">
        <f>IFERROR(VALUE(Raw_Data!H160),0)</f>
        <v>7</v>
      </c>
      <c r="I160" s="49">
        <f>IFERROR(VALUE(Raw_Data!I160),0)</f>
        <v>65000</v>
      </c>
      <c r="J160" s="12">
        <f>IFERROR(VALUE(Raw_Data!J160),0)</f>
        <v>0.15</v>
      </c>
      <c r="K160" s="12" t="s">
        <v>74</v>
      </c>
      <c r="L160" s="12" t="str">
        <f>IF(COUNTIF($A$2:A160, A160)&gt;1, "Duplicate", "Valid")</f>
        <v>Duplicate</v>
      </c>
      <c r="M160" s="50">
        <f t="shared" si="4"/>
        <v>386750</v>
      </c>
      <c r="N160" t="str">
        <f>IF(COUNTIF($A$2:A160, A160)&gt;1, "Duplicate", IF(OR(B160="NA", ISERROR(B160), ISTEXT(B160)), "Invalid Date", IF(OR(C160=0, E160=0, H160=0, I160=0, J160=0), "Missing Data", "OK")))</f>
        <v>Duplicate</v>
      </c>
      <c r="O160" t="str">
        <f>IFERROR(INDEX(Reps!$B:$B, MATCH(K160, Reps!$A:$A, 0)), "Not Found")</f>
        <v>Rahul Verma</v>
      </c>
      <c r="P160" t="str">
        <f t="shared" si="5"/>
        <v>March</v>
      </c>
    </row>
    <row r="161" spans="1:16" x14ac:dyDescent="0.25">
      <c r="A161" t="s">
        <v>390</v>
      </c>
      <c r="B161" s="10">
        <f>IFERROR(IFERROR(INT(VALUE(Raw_Data!B161)), DATE(RIGHT(TRIM(Raw_Data!B161),4), MID(TRIM(Raw_Data!B161),4,2), LEFT(TRIM(Raw_Data!B161),2))), "NA")</f>
        <v>46012</v>
      </c>
      <c r="C161" s="12" t="s">
        <v>304</v>
      </c>
      <c r="D161" s="12" t="str">
        <f>IF(OR(LOWER(TRIM(Raw_Data!D161))="north",LOWER(TRIM(Raw_Data!D161))="n.",LOWER(SUBSTITUTE(TRIM(Raw_Data!D161)," ",""))="north"),"North",IF(OR(LOWER(TRIM(Raw_Data!D161))="south",LOWER(TRIM(Raw_Data!D161))="s."),"South",IF(OR(LOWER(TRIM(Raw_Data!D161))="east",LOWER(TRIM(Raw_Data!D161))="e."),"East",IF(OR(LOWER(TRIM(Raw_Data!D161))="west",LOWER(TRIM(Raw_Data!D161))="w."),"West",IF(OR(LOWER(TRIM(Raw_Data!D161))="central",LOWER(TRIM(Raw_Data!D161))="c."),"Central","Unknown")))))</f>
        <v>North</v>
      </c>
      <c r="E161" s="12" t="s">
        <v>98</v>
      </c>
      <c r="F161" s="12" t="s">
        <v>99</v>
      </c>
      <c r="G161" s="12" t="s">
        <v>50</v>
      </c>
      <c r="H161" s="12">
        <f>IFERROR(VALUE(Raw_Data!H161),0)</f>
        <v>7</v>
      </c>
      <c r="I161" s="49">
        <f>IFERROR(VALUE(Raw_Data!I161),0)</f>
        <v>28000</v>
      </c>
      <c r="J161" s="12">
        <f>IFERROR(VALUE(Raw_Data!J161),0)</f>
        <v>0.15</v>
      </c>
      <c r="K161" s="12" t="s">
        <v>102</v>
      </c>
      <c r="L161" s="12" t="str">
        <f>IF(COUNTIF($A$2:A161, A161)&gt;1, "Duplicate", "Valid")</f>
        <v>Valid</v>
      </c>
      <c r="M161" s="50">
        <f t="shared" si="4"/>
        <v>166600</v>
      </c>
      <c r="N161" t="str">
        <f>IF(COUNTIF($A$2:A161, A161)&gt;1, "Duplicate", IF(OR(B161="NA", ISERROR(B161), ISTEXT(B161)), "Invalid Date", IF(OR(C161=0, E161=0, H161=0, I161=0, J161=0), "Missing Data", "OK")))</f>
        <v>OK</v>
      </c>
      <c r="O161" t="str">
        <f>IFERROR(INDEX(Reps!$B:$B, MATCH(K161, Reps!$A:$A, 0)), "Not Found")</f>
        <v>Anita Sharma</v>
      </c>
      <c r="P161" t="str">
        <f t="shared" si="5"/>
        <v>December</v>
      </c>
    </row>
    <row r="162" spans="1:16" x14ac:dyDescent="0.25">
      <c r="A162" t="s">
        <v>392</v>
      </c>
      <c r="B162" s="10">
        <f>IFERROR(IFERROR(INT(VALUE(Raw_Data!B162)), DATE(RIGHT(TRIM(Raw_Data!B162),4), MID(TRIM(Raw_Data!B162),4,2), LEFT(TRIM(Raw_Data!B162),2))), "NA")</f>
        <v>45972</v>
      </c>
      <c r="C162" s="12" t="s">
        <v>97</v>
      </c>
      <c r="D162" s="12" t="str">
        <f>IF(OR(LOWER(TRIM(Raw_Data!D162))="north",LOWER(TRIM(Raw_Data!D162))="n.",LOWER(SUBSTITUTE(TRIM(Raw_Data!D162)," ",""))="north"),"North",IF(OR(LOWER(TRIM(Raw_Data!D162))="south",LOWER(TRIM(Raw_Data!D162))="s."),"South",IF(OR(LOWER(TRIM(Raw_Data!D162))="east",LOWER(TRIM(Raw_Data!D162))="e."),"East",IF(OR(LOWER(TRIM(Raw_Data!D162))="west",LOWER(TRIM(Raw_Data!D162))="w."),"West",IF(OR(LOWER(TRIM(Raw_Data!D162))="central",LOWER(TRIM(Raw_Data!D162))="c."),"Central","Unknown")))))</f>
        <v>North</v>
      </c>
      <c r="E162" s="12" t="s">
        <v>40</v>
      </c>
      <c r="F162" s="12" t="s">
        <v>41</v>
      </c>
      <c r="G162" s="12" t="s">
        <v>42</v>
      </c>
      <c r="H162" s="12">
        <f>IFERROR(VALUE(Raw_Data!H162),0)</f>
        <v>4</v>
      </c>
      <c r="I162" s="49">
        <f>IFERROR(VALUE(Raw_Data!I162),0)</f>
        <v>450</v>
      </c>
      <c r="J162" s="12">
        <f>IFERROR(VALUE(Raw_Data!J162),0)</f>
        <v>0.25</v>
      </c>
      <c r="K162" s="12" t="s">
        <v>43</v>
      </c>
      <c r="L162" s="12" t="str">
        <f>IF(COUNTIF($A$2:A162, A162)&gt;1, "Duplicate", "Valid")</f>
        <v>Valid</v>
      </c>
      <c r="M162" s="50">
        <f t="shared" si="4"/>
        <v>1350</v>
      </c>
      <c r="N162" t="str">
        <f>IF(COUNTIF($A$2:A162, A162)&gt;1, "Duplicate", IF(OR(B162="NA", ISERROR(B162), ISTEXT(B162)), "Invalid Date", IF(OR(C162=0, E162=0, H162=0, I162=0, J162=0), "Missing Data", "OK")))</f>
        <v>OK</v>
      </c>
      <c r="O162" t="str">
        <f>IFERROR(INDEX(Reps!$B:$B, MATCH(K162, Reps!$A:$A, 0)), "Not Found")</f>
        <v>Karan Mehta</v>
      </c>
      <c r="P162" t="str">
        <f t="shared" si="5"/>
        <v>November</v>
      </c>
    </row>
    <row r="163" spans="1:16" x14ac:dyDescent="0.25">
      <c r="A163" t="s">
        <v>393</v>
      </c>
      <c r="B163" s="10">
        <f>IFERROR(IFERROR(INT(VALUE(Raw_Data!B163)), DATE(RIGHT(TRIM(Raw_Data!B163),4), MID(TRIM(Raw_Data!B163),4,2), LEFT(TRIM(Raw_Data!B163),2))), "NA")</f>
        <v>46874</v>
      </c>
      <c r="C163" s="12" t="s">
        <v>53</v>
      </c>
      <c r="D163" s="12" t="str">
        <f>IF(OR(LOWER(TRIM(Raw_Data!D163))="north",LOWER(TRIM(Raw_Data!D163))="n.",LOWER(SUBSTITUTE(TRIM(Raw_Data!D163)," ",""))="north"),"North",IF(OR(LOWER(TRIM(Raw_Data!D163))="south",LOWER(TRIM(Raw_Data!D163))="s."),"South",IF(OR(LOWER(TRIM(Raw_Data!D163))="east",LOWER(TRIM(Raw_Data!D163))="e."),"East",IF(OR(LOWER(TRIM(Raw_Data!D163))="west",LOWER(TRIM(Raw_Data!D163))="w."),"West",IF(OR(LOWER(TRIM(Raw_Data!D163))="central",LOWER(TRIM(Raw_Data!D163))="c."),"Central","Unknown")))))</f>
        <v>North</v>
      </c>
      <c r="E163" s="12" t="s">
        <v>48</v>
      </c>
      <c r="F163" s="12" t="s">
        <v>49</v>
      </c>
      <c r="G163" s="12" t="s">
        <v>50</v>
      </c>
      <c r="H163" s="12">
        <f>IFERROR(VALUE(Raw_Data!H163),0)</f>
        <v>5</v>
      </c>
      <c r="I163" s="49">
        <f>IFERROR(VALUE(Raw_Data!I163),0)</f>
        <v>12000</v>
      </c>
      <c r="J163" s="12">
        <f>IFERROR(VALUE(Raw_Data!J163),0)</f>
        <v>0.05</v>
      </c>
      <c r="K163" s="12" t="s">
        <v>74</v>
      </c>
      <c r="L163" s="12" t="str">
        <f>IF(COUNTIF($A$2:A163, A163)&gt;1, "Duplicate", "Valid")</f>
        <v>Valid</v>
      </c>
      <c r="M163" s="50">
        <f t="shared" si="4"/>
        <v>57000</v>
      </c>
      <c r="N163" t="str">
        <f>IF(COUNTIF($A$2:A163, A163)&gt;1, "Duplicate", IF(OR(B163="NA", ISERROR(B163), ISTEXT(B163)), "Invalid Date", IF(OR(C163=0, E163=0, H163=0, I163=0, J163=0), "Missing Data", "OK")))</f>
        <v>OK</v>
      </c>
      <c r="O163" t="str">
        <f>IFERROR(INDEX(Reps!$B:$B, MATCH(K163, Reps!$A:$A, 0)), "Not Found")</f>
        <v>Rahul Verma</v>
      </c>
      <c r="P163" t="str">
        <f t="shared" si="5"/>
        <v>May</v>
      </c>
    </row>
    <row r="164" spans="1:16" x14ac:dyDescent="0.25">
      <c r="A164" t="s">
        <v>244</v>
      </c>
      <c r="B164" s="10">
        <f>IFERROR(IFERROR(INT(VALUE(Raw_Data!B164)), DATE(RIGHT(TRIM(Raw_Data!B164),4), MID(TRIM(Raw_Data!B164),4,2), LEFT(TRIM(Raw_Data!B164),2))), "NA")</f>
        <v>46084</v>
      </c>
      <c r="C164" s="12" t="s">
        <v>230</v>
      </c>
      <c r="D164" s="12" t="str">
        <f>IF(OR(LOWER(TRIM(Raw_Data!D164))="north",LOWER(TRIM(Raw_Data!D164))="n.",LOWER(SUBSTITUTE(TRIM(Raw_Data!D164)," ",""))="north"),"North",IF(OR(LOWER(TRIM(Raw_Data!D164))="south",LOWER(TRIM(Raw_Data!D164))="s."),"South",IF(OR(LOWER(TRIM(Raw_Data!D164))="east",LOWER(TRIM(Raw_Data!D164))="e."),"East",IF(OR(LOWER(TRIM(Raw_Data!D164))="west",LOWER(TRIM(Raw_Data!D164))="w."),"West",IF(OR(LOWER(TRIM(Raw_Data!D164))="central",LOWER(TRIM(Raw_Data!D164))="c."),"Central","Unknown")))))</f>
        <v>Central</v>
      </c>
      <c r="E164" s="12" t="s">
        <v>98</v>
      </c>
      <c r="F164" s="12" t="s">
        <v>99</v>
      </c>
      <c r="G164" s="12" t="s">
        <v>50</v>
      </c>
      <c r="H164" s="12">
        <f>IFERROR(VALUE(Raw_Data!H164),0)</f>
        <v>10</v>
      </c>
      <c r="I164" s="49">
        <f>IFERROR(VALUE(Raw_Data!I164),0)</f>
        <v>28000</v>
      </c>
      <c r="J164" s="12">
        <f>IFERROR(VALUE(Raw_Data!J164),0)</f>
        <v>0.1</v>
      </c>
      <c r="K164" s="12" t="s">
        <v>102</v>
      </c>
      <c r="L164" s="12" t="str">
        <f>IF(COUNTIF($A$2:A164, A164)&gt;1, "Duplicate", "Valid")</f>
        <v>Duplicate</v>
      </c>
      <c r="M164" s="50">
        <f t="shared" si="4"/>
        <v>252000</v>
      </c>
      <c r="N164" t="str">
        <f>IF(COUNTIF($A$2:A164, A164)&gt;1, "Duplicate", IF(OR(B164="NA", ISERROR(B164), ISTEXT(B164)), "Invalid Date", IF(OR(C164=0, E164=0, H164=0, I164=0, J164=0), "Missing Data", "OK")))</f>
        <v>Duplicate</v>
      </c>
      <c r="O164" t="str">
        <f>IFERROR(INDEX(Reps!$B:$B, MATCH(K164, Reps!$A:$A, 0)), "Not Found")</f>
        <v>Anita Sharma</v>
      </c>
      <c r="P164" t="str">
        <f t="shared" si="5"/>
        <v>March</v>
      </c>
    </row>
    <row r="165" spans="1:16" x14ac:dyDescent="0.25">
      <c r="A165" t="s">
        <v>395</v>
      </c>
      <c r="B165" s="10">
        <f>IFERROR(IFERROR(INT(VALUE(Raw_Data!B165)), DATE(RIGHT(TRIM(Raw_Data!B165),4), MID(TRIM(Raw_Data!B165),4,2), LEFT(TRIM(Raw_Data!B165),2))), "NA")</f>
        <v>45973</v>
      </c>
      <c r="C165" s="12" t="s">
        <v>88</v>
      </c>
      <c r="D165" s="12" t="str">
        <f>IF(OR(LOWER(TRIM(Raw_Data!D165))="north",LOWER(TRIM(Raw_Data!D165))="n.",LOWER(SUBSTITUTE(TRIM(Raw_Data!D165)," ",""))="north"),"North",IF(OR(LOWER(TRIM(Raw_Data!D165))="south",LOWER(TRIM(Raw_Data!D165))="s."),"South",IF(OR(LOWER(TRIM(Raw_Data!D165))="east",LOWER(TRIM(Raw_Data!D165))="e."),"East",IF(OR(LOWER(TRIM(Raw_Data!D165))="west",LOWER(TRIM(Raw_Data!D165))="w."),"West",IF(OR(LOWER(TRIM(Raw_Data!D165))="central",LOWER(TRIM(Raw_Data!D165))="c."),"Central","Unknown")))))</f>
        <v>Central</v>
      </c>
      <c r="E165" s="12" t="s">
        <v>111</v>
      </c>
      <c r="F165" s="12" t="s">
        <v>112</v>
      </c>
      <c r="G165" s="12" t="s">
        <v>57</v>
      </c>
      <c r="H165" s="12">
        <f>IFERROR(VALUE(Raw_Data!H165),0)</f>
        <v>10</v>
      </c>
      <c r="I165" s="49">
        <f>IFERROR(VALUE(Raw_Data!I165),0)</f>
        <v>18000</v>
      </c>
      <c r="J165" s="12">
        <f>IFERROR(VALUE(Raw_Data!J165),0)</f>
        <v>0.15</v>
      </c>
      <c r="K165" s="12" t="s">
        <v>70</v>
      </c>
      <c r="L165" s="12" t="str">
        <f>IF(COUNTIF($A$2:A165, A165)&gt;1, "Duplicate", "Valid")</f>
        <v>Valid</v>
      </c>
      <c r="M165" s="50">
        <f t="shared" si="4"/>
        <v>153000</v>
      </c>
      <c r="N165" t="str">
        <f>IF(COUNTIF($A$2:A165, A165)&gt;1, "Duplicate", IF(OR(B165="NA", ISERROR(B165), ISTEXT(B165)), "Invalid Date", IF(OR(C165=0, E165=0, H165=0, I165=0, J165=0), "Missing Data", "OK")))</f>
        <v>OK</v>
      </c>
      <c r="O165" t="str">
        <f>IFERROR(INDEX(Reps!$B:$B, MATCH(K165, Reps!$A:$A, 0)), "Not Found")</f>
        <v>Vikram Nair</v>
      </c>
      <c r="P165" t="str">
        <f t="shared" si="5"/>
        <v>November</v>
      </c>
    </row>
    <row r="166" spans="1:16" x14ac:dyDescent="0.25">
      <c r="A166" t="s">
        <v>396</v>
      </c>
      <c r="B166" s="10">
        <f>IFERROR(IFERROR(INT(VALUE(Raw_Data!B166)), DATE(RIGHT(TRIM(Raw_Data!B166),4), MID(TRIM(Raw_Data!B166),4,2), LEFT(TRIM(Raw_Data!B166),2))), "NA")</f>
        <v>46207</v>
      </c>
      <c r="C166" s="12" t="s">
        <v>53</v>
      </c>
      <c r="D166" s="12" t="str">
        <f>IF(OR(LOWER(TRIM(Raw_Data!D166))="north",LOWER(TRIM(Raw_Data!D166))="n.",LOWER(SUBSTITUTE(TRIM(Raw_Data!D166)," ",""))="north"),"North",IF(OR(LOWER(TRIM(Raw_Data!D166))="south",LOWER(TRIM(Raw_Data!D166))="s."),"South",IF(OR(LOWER(TRIM(Raw_Data!D166))="east",LOWER(TRIM(Raw_Data!D166))="e."),"East",IF(OR(LOWER(TRIM(Raw_Data!D166))="west",LOWER(TRIM(Raw_Data!D166))="w."),"West",IF(OR(LOWER(TRIM(Raw_Data!D166))="central",LOWER(TRIM(Raw_Data!D166))="c."),"Central","Unknown")))))</f>
        <v>North</v>
      </c>
      <c r="E166" s="12" t="s">
        <v>135</v>
      </c>
      <c r="F166" s="12" t="s">
        <v>136</v>
      </c>
      <c r="G166" s="12" t="s">
        <v>50</v>
      </c>
      <c r="H166" s="12">
        <f>IFERROR(VALUE(Raw_Data!H166),0)</f>
        <v>4</v>
      </c>
      <c r="I166" s="49">
        <f>IFERROR(VALUE(Raw_Data!I166),0)</f>
        <v>9500</v>
      </c>
      <c r="J166" s="12">
        <f>IFERROR(VALUE(Raw_Data!J166),0)</f>
        <v>0.2</v>
      </c>
      <c r="K166" s="12" t="s">
        <v>102</v>
      </c>
      <c r="L166" s="12" t="str">
        <f>IF(COUNTIF($A$2:A166, A166)&gt;1, "Duplicate", "Valid")</f>
        <v>Valid</v>
      </c>
      <c r="M166" s="50">
        <f t="shared" si="4"/>
        <v>30400</v>
      </c>
      <c r="N166" t="str">
        <f>IF(COUNTIF($A$2:A166, A166)&gt;1, "Duplicate", IF(OR(B166="NA", ISERROR(B166), ISTEXT(B166)), "Invalid Date", IF(OR(C166=0, E166=0, H166=0, I166=0, J166=0), "Missing Data", "OK")))</f>
        <v>OK</v>
      </c>
      <c r="O166" t="str">
        <f>IFERROR(INDEX(Reps!$B:$B, MATCH(K166, Reps!$A:$A, 0)), "Not Found")</f>
        <v>Anita Sharma</v>
      </c>
      <c r="P166" t="str">
        <f t="shared" si="5"/>
        <v>July</v>
      </c>
    </row>
    <row r="167" spans="1:16" x14ac:dyDescent="0.25">
      <c r="A167" t="s">
        <v>398</v>
      </c>
      <c r="B167" s="10">
        <f>IFERROR(IFERROR(INT(VALUE(Raw_Data!B167)), DATE(RIGHT(TRIM(Raw_Data!B167),4), MID(TRIM(Raw_Data!B167),4,2), LEFT(TRIM(Raw_Data!B167),2))), "NA")</f>
        <v>46542</v>
      </c>
      <c r="C167" s="12" t="s">
        <v>138</v>
      </c>
      <c r="D167" s="12" t="str">
        <f>IF(OR(LOWER(TRIM(Raw_Data!D167))="north",LOWER(TRIM(Raw_Data!D167))="n.",LOWER(SUBSTITUTE(TRIM(Raw_Data!D167)," ",""))="north"),"North",IF(OR(LOWER(TRIM(Raw_Data!D167))="south",LOWER(TRIM(Raw_Data!D167))="s."),"South",IF(OR(LOWER(TRIM(Raw_Data!D167))="east",LOWER(TRIM(Raw_Data!D167))="e."),"East",IF(OR(LOWER(TRIM(Raw_Data!D167))="west",LOWER(TRIM(Raw_Data!D167))="w."),"West",IF(OR(LOWER(TRIM(Raw_Data!D167))="central",LOWER(TRIM(Raw_Data!D167))="c."),"Central","Unknown")))))</f>
        <v>North</v>
      </c>
      <c r="E167" s="12" t="s">
        <v>89</v>
      </c>
      <c r="F167" s="12" t="s">
        <v>90</v>
      </c>
      <c r="G167" s="12" t="s">
        <v>91</v>
      </c>
      <c r="H167" s="12">
        <f>IFERROR(VALUE(Raw_Data!H167),0)</f>
        <v>11</v>
      </c>
      <c r="I167" s="49">
        <f>IFERROR(VALUE(Raw_Data!I167),0)</f>
        <v>2200</v>
      </c>
      <c r="J167" s="12">
        <f>IFERROR(VALUE(Raw_Data!J167),0)</f>
        <v>0.2</v>
      </c>
      <c r="K167" s="12" t="s">
        <v>74</v>
      </c>
      <c r="L167" s="12" t="str">
        <f>IF(COUNTIF($A$2:A167, A167)&gt;1, "Duplicate", "Valid")</f>
        <v>Valid</v>
      </c>
      <c r="M167" s="50">
        <f t="shared" si="4"/>
        <v>19360</v>
      </c>
      <c r="N167" t="str">
        <f>IF(COUNTIF($A$2:A167, A167)&gt;1, "Duplicate", IF(OR(B167="NA", ISERROR(B167), ISTEXT(B167)), "Invalid Date", IF(OR(C167=0, E167=0, H167=0, I167=0, J167=0), "Missing Data", "OK")))</f>
        <v>OK</v>
      </c>
      <c r="O167" t="str">
        <f>IFERROR(INDEX(Reps!$B:$B, MATCH(K167, Reps!$A:$A, 0)), "Not Found")</f>
        <v>Rahul Verma</v>
      </c>
      <c r="P167" t="str">
        <f t="shared" si="5"/>
        <v>June</v>
      </c>
    </row>
    <row r="168" spans="1:16" x14ac:dyDescent="0.25">
      <c r="A168" t="s">
        <v>215</v>
      </c>
      <c r="B168" s="10">
        <f>IFERROR(IFERROR(INT(VALUE(Raw_Data!B168)), DATE(RIGHT(TRIM(Raw_Data!B168),4), MID(TRIM(Raw_Data!B168),4,2), LEFT(TRIM(Raw_Data!B168),2))), "NA")</f>
        <v>46052</v>
      </c>
      <c r="C168" s="12" t="s">
        <v>217</v>
      </c>
      <c r="D168" s="12" t="str">
        <f>IF(OR(LOWER(TRIM(Raw_Data!D168))="north",LOWER(TRIM(Raw_Data!D168))="n.",LOWER(SUBSTITUTE(TRIM(Raw_Data!D168)," ",""))="north"),"North",IF(OR(LOWER(TRIM(Raw_Data!D168))="south",LOWER(TRIM(Raw_Data!D168))="s."),"South",IF(OR(LOWER(TRIM(Raw_Data!D168))="east",LOWER(TRIM(Raw_Data!D168))="e."),"East",IF(OR(LOWER(TRIM(Raw_Data!D168))="west",LOWER(TRIM(Raw_Data!D168))="w."),"West",IF(OR(LOWER(TRIM(Raw_Data!D168))="central",LOWER(TRIM(Raw_Data!D168))="c."),"Central","Unknown")))))</f>
        <v>East</v>
      </c>
      <c r="E168" s="12" t="s">
        <v>77</v>
      </c>
      <c r="F168" s="12" t="s">
        <v>78</v>
      </c>
      <c r="G168" s="12" t="s">
        <v>57</v>
      </c>
      <c r="H168" s="12">
        <f>IFERROR(VALUE(Raw_Data!H168),0)</f>
        <v>10</v>
      </c>
      <c r="I168" s="49">
        <f>IFERROR(VALUE(Raw_Data!I168),0)</f>
        <v>3500</v>
      </c>
      <c r="J168" s="12">
        <f>IFERROR(VALUE(Raw_Data!J168),0)</f>
        <v>0.25</v>
      </c>
      <c r="K168" s="12" t="s">
        <v>102</v>
      </c>
      <c r="L168" s="12" t="str">
        <f>IF(COUNTIF($A$2:A168, A168)&gt;1, "Duplicate", "Valid")</f>
        <v>Duplicate</v>
      </c>
      <c r="M168" s="50">
        <f t="shared" si="4"/>
        <v>26250</v>
      </c>
      <c r="N168" t="str">
        <f>IF(COUNTIF($A$2:A168, A168)&gt;1, "Duplicate", IF(OR(B168="NA", ISERROR(B168), ISTEXT(B168)), "Invalid Date", IF(OR(C168=0, E168=0, H168=0, I168=0, J168=0), "Missing Data", "OK")))</f>
        <v>Duplicate</v>
      </c>
      <c r="O168" t="str">
        <f>IFERROR(INDEX(Reps!$B:$B, MATCH(K168, Reps!$A:$A, 0)), "Not Found")</f>
        <v>Anita Sharma</v>
      </c>
      <c r="P168" t="str">
        <f t="shared" si="5"/>
        <v>January</v>
      </c>
    </row>
    <row r="169" spans="1:16" x14ac:dyDescent="0.25">
      <c r="A169" t="s">
        <v>400</v>
      </c>
      <c r="B169" s="10">
        <f>IFERROR(IFERROR(INT(VALUE(Raw_Data!B169)), DATE(RIGHT(TRIM(Raw_Data!B169),4), MID(TRIM(Raw_Data!B169),4,2), LEFT(TRIM(Raw_Data!B169),2))), "NA")</f>
        <v>46045</v>
      </c>
      <c r="C169" s="12" t="s">
        <v>93</v>
      </c>
      <c r="D169" s="12" t="str">
        <f>IF(OR(LOWER(TRIM(Raw_Data!D169))="north",LOWER(TRIM(Raw_Data!D169))="n.",LOWER(SUBSTITUTE(TRIM(Raw_Data!D169)," ",""))="north"),"North",IF(OR(LOWER(TRIM(Raw_Data!D169))="south",LOWER(TRIM(Raw_Data!D169))="s."),"South",IF(OR(LOWER(TRIM(Raw_Data!D169))="east",LOWER(TRIM(Raw_Data!D169))="e."),"East",IF(OR(LOWER(TRIM(Raw_Data!D169))="west",LOWER(TRIM(Raw_Data!D169))="w."),"West",IF(OR(LOWER(TRIM(Raw_Data!D169))="central",LOWER(TRIM(Raw_Data!D169))="c."),"Central","Unknown")))))</f>
        <v>Central</v>
      </c>
      <c r="E169" s="12" t="s">
        <v>120</v>
      </c>
      <c r="F169" s="12" t="s">
        <v>121</v>
      </c>
      <c r="G169" s="12" t="s">
        <v>42</v>
      </c>
      <c r="H169" s="12">
        <f>IFERROR(VALUE(Raw_Data!H169),0)</f>
        <v>8</v>
      </c>
      <c r="I169" s="49">
        <f>IFERROR(VALUE(Raw_Data!I169),0)</f>
        <v>250</v>
      </c>
      <c r="J169" s="12">
        <f>IFERROR(VALUE(Raw_Data!J169),0)</f>
        <v>0.05</v>
      </c>
      <c r="K169" s="12" t="s">
        <v>70</v>
      </c>
      <c r="L169" s="12" t="str">
        <f>IF(COUNTIF($A$2:A169, A169)&gt;1, "Duplicate", "Valid")</f>
        <v>Valid</v>
      </c>
      <c r="M169" s="50">
        <f t="shared" si="4"/>
        <v>1900</v>
      </c>
      <c r="N169" t="str">
        <f>IF(COUNTIF($A$2:A169, A169)&gt;1, "Duplicate", IF(OR(B169="NA", ISERROR(B169), ISTEXT(B169)), "Invalid Date", IF(OR(C169=0, E169=0, H169=0, I169=0, J169=0), "Missing Data", "OK")))</f>
        <v>OK</v>
      </c>
      <c r="O169" t="str">
        <f>IFERROR(INDEX(Reps!$B:$B, MATCH(K169, Reps!$A:$A, 0)), "Not Found")</f>
        <v>Vikram Nair</v>
      </c>
      <c r="P169" t="str">
        <f t="shared" si="5"/>
        <v>January</v>
      </c>
    </row>
    <row r="170" spans="1:16" x14ac:dyDescent="0.25">
      <c r="A170" t="s">
        <v>402</v>
      </c>
      <c r="B170" s="10">
        <f>IFERROR(IFERROR(INT(VALUE(Raw_Data!B170)), DATE(RIGHT(TRIM(Raw_Data!B170),4), MID(TRIM(Raw_Data!B170),4,2), LEFT(TRIM(Raw_Data!B170),2))), "NA")</f>
        <v>46107</v>
      </c>
      <c r="C170" s="12" t="s">
        <v>138</v>
      </c>
      <c r="D170" s="12" t="str">
        <f>IF(OR(LOWER(TRIM(Raw_Data!D170))="north",LOWER(TRIM(Raw_Data!D170))="n.",LOWER(SUBSTITUTE(TRIM(Raw_Data!D170)," ",""))="north"),"North",IF(OR(LOWER(TRIM(Raw_Data!D170))="south",LOWER(TRIM(Raw_Data!D170))="s."),"South",IF(OR(LOWER(TRIM(Raw_Data!D170))="east",LOWER(TRIM(Raw_Data!D170))="e."),"East",IF(OR(LOWER(TRIM(Raw_Data!D170))="west",LOWER(TRIM(Raw_Data!D170))="w."),"West",IF(OR(LOWER(TRIM(Raw_Data!D170))="central",LOWER(TRIM(Raw_Data!D170))="c."),"Central","Unknown")))))</f>
        <v>East</v>
      </c>
      <c r="E170" s="12" t="s">
        <v>77</v>
      </c>
      <c r="F170" s="12" t="s">
        <v>78</v>
      </c>
      <c r="G170" s="12" t="s">
        <v>57</v>
      </c>
      <c r="H170" s="12">
        <f>IFERROR(VALUE(Raw_Data!H170),0)</f>
        <v>11</v>
      </c>
      <c r="I170" s="49">
        <f>IFERROR(VALUE(Raw_Data!I170),0)</f>
        <v>3500</v>
      </c>
      <c r="J170" s="12">
        <f>IFERROR(VALUE(Raw_Data!J170),0)</f>
        <v>0.25</v>
      </c>
      <c r="K170" s="12" t="s">
        <v>43</v>
      </c>
      <c r="L170" s="12" t="str">
        <f>IF(COUNTIF($A$2:A170, A170)&gt;1, "Duplicate", "Valid")</f>
        <v>Valid</v>
      </c>
      <c r="M170" s="50">
        <f t="shared" si="4"/>
        <v>28875</v>
      </c>
      <c r="N170" t="str">
        <f>IF(COUNTIF($A$2:A170, A170)&gt;1, "Duplicate", IF(OR(B170="NA", ISERROR(B170), ISTEXT(B170)), "Invalid Date", IF(OR(C170=0, E170=0, H170=0, I170=0, J170=0), "Missing Data", "OK")))</f>
        <v>OK</v>
      </c>
      <c r="O170" t="str">
        <f>IFERROR(INDEX(Reps!$B:$B, MATCH(K170, Reps!$A:$A, 0)), "Not Found")</f>
        <v>Karan Mehta</v>
      </c>
      <c r="P170" t="str">
        <f t="shared" si="5"/>
        <v>March</v>
      </c>
    </row>
    <row r="171" spans="1:16" x14ac:dyDescent="0.25">
      <c r="A171" t="s">
        <v>404</v>
      </c>
      <c r="B171" s="10">
        <f>IFERROR(IFERROR(INT(VALUE(Raw_Data!B171)), DATE(RIGHT(TRIM(Raw_Data!B171),4), MID(TRIM(Raw_Data!B171),4,2), LEFT(TRIM(Raw_Data!B171),2))), "NA")</f>
        <v>46390</v>
      </c>
      <c r="C171" s="12" t="s">
        <v>151</v>
      </c>
      <c r="D171" s="12" t="str">
        <f>IF(OR(LOWER(TRIM(Raw_Data!D171))="north",LOWER(TRIM(Raw_Data!D171))="n.",LOWER(SUBSTITUTE(TRIM(Raw_Data!D171)," ",""))="north"),"North",IF(OR(LOWER(TRIM(Raw_Data!D171))="south",LOWER(TRIM(Raw_Data!D171))="s."),"South",IF(OR(LOWER(TRIM(Raw_Data!D171))="east",LOWER(TRIM(Raw_Data!D171))="e."),"East",IF(OR(LOWER(TRIM(Raw_Data!D171))="west",LOWER(TRIM(Raw_Data!D171))="w."),"West",IF(OR(LOWER(TRIM(Raw_Data!D171))="central",LOWER(TRIM(Raw_Data!D171))="c."),"Central","Unknown")))))</f>
        <v>South</v>
      </c>
      <c r="E171" s="12" t="s">
        <v>48</v>
      </c>
      <c r="F171" s="12" t="s">
        <v>49</v>
      </c>
      <c r="G171" s="12" t="s">
        <v>50</v>
      </c>
      <c r="H171" s="12">
        <f>IFERROR(VALUE(Raw_Data!H171),0)</f>
        <v>6</v>
      </c>
      <c r="I171" s="49">
        <f>IFERROR(VALUE(Raw_Data!I171),0)</f>
        <v>12000</v>
      </c>
      <c r="J171" s="12">
        <f>IFERROR(VALUE(Raw_Data!J171),0)</f>
        <v>0.25</v>
      </c>
      <c r="K171" s="12" t="s">
        <v>51</v>
      </c>
      <c r="L171" s="12" t="str">
        <f>IF(COUNTIF($A$2:A171, A171)&gt;1, "Duplicate", "Valid")</f>
        <v>Valid</v>
      </c>
      <c r="M171" s="50">
        <f t="shared" si="4"/>
        <v>54000</v>
      </c>
      <c r="N171" t="str">
        <f>IF(COUNTIF($A$2:A171, A171)&gt;1, "Duplicate", IF(OR(B171="NA", ISERROR(B171), ISTEXT(B171)), "Invalid Date", IF(OR(C171=0, E171=0, H171=0, I171=0, J171=0), "Missing Data", "OK")))</f>
        <v>OK</v>
      </c>
      <c r="O171" t="str">
        <f>IFERROR(INDEX(Reps!$B:$B, MATCH(K171, Reps!$A:$A, 0)), "Not Found")</f>
        <v>Priya Iyer</v>
      </c>
      <c r="P171" t="str">
        <f t="shared" si="5"/>
        <v>January</v>
      </c>
    </row>
    <row r="172" spans="1:16" x14ac:dyDescent="0.25">
      <c r="A172" t="s">
        <v>405</v>
      </c>
      <c r="B172" s="10">
        <f>IFERROR(IFERROR(INT(VALUE(Raw_Data!B172)), DATE(RIGHT(TRIM(Raw_Data!B172),4), MID(TRIM(Raw_Data!B172),4,2), LEFT(TRIM(Raw_Data!B172),2))), "NA")</f>
        <v>46026</v>
      </c>
      <c r="C172" s="12" t="s">
        <v>304</v>
      </c>
      <c r="D172" s="12" t="str">
        <f>IF(OR(LOWER(TRIM(Raw_Data!D172))="north",LOWER(TRIM(Raw_Data!D172))="n.",LOWER(SUBSTITUTE(TRIM(Raw_Data!D172)," ",""))="north"),"North",IF(OR(LOWER(TRIM(Raw_Data!D172))="south",LOWER(TRIM(Raw_Data!D172))="s."),"South",IF(OR(LOWER(TRIM(Raw_Data!D172))="east",LOWER(TRIM(Raw_Data!D172))="e."),"East",IF(OR(LOWER(TRIM(Raw_Data!D172))="west",LOWER(TRIM(Raw_Data!D172))="w."),"West",IF(OR(LOWER(TRIM(Raw_Data!D172))="central",LOWER(TRIM(Raw_Data!D172))="c."),"Central","Unknown")))))</f>
        <v>North</v>
      </c>
      <c r="E172" s="12" t="s">
        <v>135</v>
      </c>
      <c r="F172" s="12" t="s">
        <v>136</v>
      </c>
      <c r="G172" s="12" t="s">
        <v>50</v>
      </c>
      <c r="H172" s="12">
        <f>IFERROR(VALUE(Raw_Data!H172),0)</f>
        <v>1</v>
      </c>
      <c r="I172" s="49">
        <f>IFERROR(VALUE(Raw_Data!I172),0)</f>
        <v>9500</v>
      </c>
      <c r="J172" s="12">
        <f>IFERROR(VALUE(Raw_Data!J172),0)</f>
        <v>0.05</v>
      </c>
      <c r="K172" s="12" t="s">
        <v>102</v>
      </c>
      <c r="L172" s="12" t="str">
        <f>IF(COUNTIF($A$2:A172, A172)&gt;1, "Duplicate", "Valid")</f>
        <v>Valid</v>
      </c>
      <c r="M172" s="50">
        <f t="shared" si="4"/>
        <v>9025</v>
      </c>
      <c r="N172" t="str">
        <f>IF(COUNTIF($A$2:A172, A172)&gt;1, "Duplicate", IF(OR(B172="NA", ISERROR(B172), ISTEXT(B172)), "Invalid Date", IF(OR(C172=0, E172=0, H172=0, I172=0, J172=0), "Missing Data", "OK")))</f>
        <v>OK</v>
      </c>
      <c r="O172" t="str">
        <f>IFERROR(INDEX(Reps!$B:$B, MATCH(K172, Reps!$A:$A, 0)), "Not Found")</f>
        <v>Anita Sharma</v>
      </c>
      <c r="P172" t="str">
        <f t="shared" si="5"/>
        <v>January</v>
      </c>
    </row>
    <row r="173" spans="1:16" x14ac:dyDescent="0.25">
      <c r="A173" t="s">
        <v>106</v>
      </c>
      <c r="B173" s="10">
        <f>IFERROR(IFERROR(INT(VALUE(Raw_Data!B173)), DATE(RIGHT(TRIM(Raw_Data!B173),4), MID(TRIM(Raw_Data!B173),4,2), LEFT(TRIM(Raw_Data!B173),2))), "NA")</f>
        <v>46140</v>
      </c>
      <c r="C173" s="12" t="s">
        <v>93</v>
      </c>
      <c r="D173" s="12" t="str">
        <f>IF(OR(LOWER(TRIM(Raw_Data!D173))="north",LOWER(TRIM(Raw_Data!D173))="n.",LOWER(SUBSTITUTE(TRIM(Raw_Data!D173)," ",""))="north"),"North",IF(OR(LOWER(TRIM(Raw_Data!D173))="south",LOWER(TRIM(Raw_Data!D173))="s."),"South",IF(OR(LOWER(TRIM(Raw_Data!D173))="east",LOWER(TRIM(Raw_Data!D173))="e."),"East",IF(OR(LOWER(TRIM(Raw_Data!D173))="west",LOWER(TRIM(Raw_Data!D173))="w."),"West",IF(OR(LOWER(TRIM(Raw_Data!D173))="central",LOWER(TRIM(Raw_Data!D173))="c."),"Central","Unknown")))))</f>
        <v>North</v>
      </c>
      <c r="E173" s="12" t="s">
        <v>89</v>
      </c>
      <c r="F173" s="12" t="s">
        <v>90</v>
      </c>
      <c r="G173" s="12" t="s">
        <v>91</v>
      </c>
      <c r="H173" s="12">
        <f>IFERROR(VALUE(Raw_Data!H173),0)</f>
        <v>1</v>
      </c>
      <c r="I173" s="49">
        <f>IFERROR(VALUE(Raw_Data!I173),0)</f>
        <v>2200</v>
      </c>
      <c r="J173" s="12">
        <f>IFERROR(VALUE(Raw_Data!J173),0)</f>
        <v>0.25</v>
      </c>
      <c r="K173" s="12" t="s">
        <v>70</v>
      </c>
      <c r="L173" s="12" t="str">
        <f>IF(COUNTIF($A$2:A173, A173)&gt;1, "Duplicate", "Valid")</f>
        <v>Duplicate</v>
      </c>
      <c r="M173" s="50">
        <f t="shared" si="4"/>
        <v>1650</v>
      </c>
      <c r="N173" t="str">
        <f>IF(COUNTIF($A$2:A173, A173)&gt;1, "Duplicate", IF(OR(B173="NA", ISERROR(B173), ISTEXT(B173)), "Invalid Date", IF(OR(C173=0, E173=0, H173=0, I173=0, J173=0), "Missing Data", "OK")))</f>
        <v>Duplicate</v>
      </c>
      <c r="O173" t="str">
        <f>IFERROR(INDEX(Reps!$B:$B, MATCH(K173, Reps!$A:$A, 0)), "Not Found")</f>
        <v>Vikram Nair</v>
      </c>
      <c r="P173" t="str">
        <f t="shared" si="5"/>
        <v>April</v>
      </c>
    </row>
    <row r="174" spans="1:16" x14ac:dyDescent="0.25">
      <c r="A174" t="s">
        <v>407</v>
      </c>
      <c r="B174" s="10">
        <f>IFERROR(IFERROR(INT(VALUE(Raw_Data!B174)), DATE(RIGHT(TRIM(Raw_Data!B174),4), MID(TRIM(Raw_Data!B174),4,2), LEFT(TRIM(Raw_Data!B174),2))), "NA")</f>
        <v>45986</v>
      </c>
      <c r="C174" s="12" t="s">
        <v>165</v>
      </c>
      <c r="D174" s="12" t="str">
        <f>IF(OR(LOWER(TRIM(Raw_Data!D174))="north",LOWER(TRIM(Raw_Data!D174))="n.",LOWER(SUBSTITUTE(TRIM(Raw_Data!D174)," ",""))="north"),"North",IF(OR(LOWER(TRIM(Raw_Data!D174))="south",LOWER(TRIM(Raw_Data!D174))="s."),"South",IF(OR(LOWER(TRIM(Raw_Data!D174))="east",LOWER(TRIM(Raw_Data!D174))="e."),"East",IF(OR(LOWER(TRIM(Raw_Data!D174))="west",LOWER(TRIM(Raw_Data!D174))="w."),"West",IF(OR(LOWER(TRIM(Raw_Data!D174))="central",LOWER(TRIM(Raw_Data!D174))="c."),"Central","Unknown")))))</f>
        <v>Central</v>
      </c>
      <c r="E174" s="12" t="s">
        <v>55</v>
      </c>
      <c r="F174" s="12" t="s">
        <v>56</v>
      </c>
      <c r="G174" s="12" t="s">
        <v>57</v>
      </c>
      <c r="H174" s="12">
        <f>IFERROR(VALUE(Raw_Data!H174),0)</f>
        <v>10</v>
      </c>
      <c r="I174" s="49">
        <f>IFERROR(VALUE(Raw_Data!I174),0)</f>
        <v>65000</v>
      </c>
      <c r="J174" s="12">
        <f>IFERROR(VALUE(Raw_Data!J174),0)</f>
        <v>0.2</v>
      </c>
      <c r="K174" s="12" t="s">
        <v>51</v>
      </c>
      <c r="L174" s="12" t="str">
        <f>IF(COUNTIF($A$2:A174, A174)&gt;1, "Duplicate", "Valid")</f>
        <v>Valid</v>
      </c>
      <c r="M174" s="50">
        <f t="shared" si="4"/>
        <v>520000</v>
      </c>
      <c r="N174" t="str">
        <f>IF(COUNTIF($A$2:A174, A174)&gt;1, "Duplicate", IF(OR(B174="NA", ISERROR(B174), ISTEXT(B174)), "Invalid Date", IF(OR(C174=0, E174=0, H174=0, I174=0, J174=0), "Missing Data", "OK")))</f>
        <v>OK</v>
      </c>
      <c r="O174" t="str">
        <f>IFERROR(INDEX(Reps!$B:$B, MATCH(K174, Reps!$A:$A, 0)), "Not Found")</f>
        <v>Priya Iyer</v>
      </c>
      <c r="P174" t="str">
        <f t="shared" si="5"/>
        <v>November</v>
      </c>
    </row>
    <row r="175" spans="1:16" x14ac:dyDescent="0.25">
      <c r="A175" t="s">
        <v>408</v>
      </c>
      <c r="B175" s="10">
        <f>IFERROR(IFERROR(INT(VALUE(Raw_Data!B175)), DATE(RIGHT(TRIM(Raw_Data!B175),4), MID(TRIM(Raw_Data!B175),4,2), LEFT(TRIM(Raw_Data!B175),2))), "NA")</f>
        <v>46122</v>
      </c>
      <c r="C175" s="12" t="s">
        <v>262</v>
      </c>
      <c r="D175" s="12" t="str">
        <f>IF(OR(LOWER(TRIM(Raw_Data!D175))="north",LOWER(TRIM(Raw_Data!D175))="n.",LOWER(SUBSTITUTE(TRIM(Raw_Data!D175)," ",""))="north"),"North",IF(OR(LOWER(TRIM(Raw_Data!D175))="south",LOWER(TRIM(Raw_Data!D175))="s."),"South",IF(OR(LOWER(TRIM(Raw_Data!D175))="east",LOWER(TRIM(Raw_Data!D175))="e."),"East",IF(OR(LOWER(TRIM(Raw_Data!D175))="west",LOWER(TRIM(Raw_Data!D175))="w."),"West",IF(OR(LOWER(TRIM(Raw_Data!D175))="central",LOWER(TRIM(Raw_Data!D175))="c."),"Central","Unknown")))))</f>
        <v>West</v>
      </c>
      <c r="E175" s="12" t="s">
        <v>127</v>
      </c>
      <c r="F175" s="12" t="s">
        <v>128</v>
      </c>
      <c r="G175" s="12" t="s">
        <v>57</v>
      </c>
      <c r="H175" s="12">
        <f>IFERROR(VALUE(Raw_Data!H175),0)</f>
        <v>8</v>
      </c>
      <c r="I175" s="49">
        <f>IFERROR(VALUE(Raw_Data!I175),0)</f>
        <v>4500</v>
      </c>
      <c r="J175" s="12">
        <f>IFERROR(VALUE(Raw_Data!J175),0)</f>
        <v>0</v>
      </c>
      <c r="K175" s="12" t="s">
        <v>102</v>
      </c>
      <c r="L175" s="12" t="str">
        <f>IF(COUNTIF($A$2:A175, A175)&gt;1, "Duplicate", "Valid")</f>
        <v>Valid</v>
      </c>
      <c r="M175" s="50">
        <f t="shared" si="4"/>
        <v>36000</v>
      </c>
      <c r="N175" t="str">
        <f>IF(COUNTIF($A$2:A175, A175)&gt;1, "Duplicate", IF(OR(B175="NA", ISERROR(B175), ISTEXT(B175)), "Invalid Date", IF(OR(C175=0, E175=0, H175=0, I175=0, J175=0), "Missing Data", "OK")))</f>
        <v>Missing Data</v>
      </c>
      <c r="O175" t="str">
        <f>IFERROR(INDEX(Reps!$B:$B, MATCH(K175, Reps!$A:$A, 0)), "Not Found")</f>
        <v>Anita Sharma</v>
      </c>
      <c r="P175" t="str">
        <f t="shared" si="5"/>
        <v>April</v>
      </c>
    </row>
    <row r="176" spans="1:16" x14ac:dyDescent="0.25">
      <c r="A176" t="s">
        <v>409</v>
      </c>
      <c r="B176" s="10">
        <f>IFERROR(IFERROR(INT(VALUE(Raw_Data!B176)), DATE(RIGHT(TRIM(Raw_Data!B176),4), MID(TRIM(Raw_Data!B176),4,2), LEFT(TRIM(Raw_Data!B176),2))), "NA")</f>
        <v>46138</v>
      </c>
      <c r="C176" s="12" t="s">
        <v>123</v>
      </c>
      <c r="D176" s="12" t="str">
        <f>IF(OR(LOWER(TRIM(Raw_Data!D176))="north",LOWER(TRIM(Raw_Data!D176))="n.",LOWER(SUBSTITUTE(TRIM(Raw_Data!D176)," ",""))="north"),"North",IF(OR(LOWER(TRIM(Raw_Data!D176))="south",LOWER(TRIM(Raw_Data!D176))="s."),"South",IF(OR(LOWER(TRIM(Raw_Data!D176))="east",LOWER(TRIM(Raw_Data!D176))="e."),"East",IF(OR(LOWER(TRIM(Raw_Data!D176))="west",LOWER(TRIM(Raw_Data!D176))="w."),"West",IF(OR(LOWER(TRIM(Raw_Data!D176))="central",LOWER(TRIM(Raw_Data!D176))="c."),"Central","Unknown")))))</f>
        <v>West</v>
      </c>
      <c r="E176" s="12" t="s">
        <v>98</v>
      </c>
      <c r="F176" s="12" t="s">
        <v>99</v>
      </c>
      <c r="G176" s="12" t="s">
        <v>50</v>
      </c>
      <c r="H176" s="12">
        <f>IFERROR(VALUE(Raw_Data!H176),0)</f>
        <v>3</v>
      </c>
      <c r="I176" s="49">
        <f>IFERROR(VALUE(Raw_Data!I176),0)</f>
        <v>28000</v>
      </c>
      <c r="J176" s="12">
        <f>IFERROR(VALUE(Raw_Data!J176),0)</f>
        <v>0.25</v>
      </c>
      <c r="K176" s="12" t="s">
        <v>74</v>
      </c>
      <c r="L176" s="12" t="str">
        <f>IF(COUNTIF($A$2:A176, A176)&gt;1, "Duplicate", "Valid")</f>
        <v>Valid</v>
      </c>
      <c r="M176" s="50">
        <f t="shared" si="4"/>
        <v>63000</v>
      </c>
      <c r="N176" t="str">
        <f>IF(COUNTIF($A$2:A176, A176)&gt;1, "Duplicate", IF(OR(B176="NA", ISERROR(B176), ISTEXT(B176)), "Invalid Date", IF(OR(C176=0, E176=0, H176=0, I176=0, J176=0), "Missing Data", "OK")))</f>
        <v>OK</v>
      </c>
      <c r="O176" t="str">
        <f>IFERROR(INDEX(Reps!$B:$B, MATCH(K176, Reps!$A:$A, 0)), "Not Found")</f>
        <v>Rahul Verma</v>
      </c>
      <c r="P176" t="str">
        <f t="shared" si="5"/>
        <v>April</v>
      </c>
    </row>
    <row r="177" spans="1:16" x14ac:dyDescent="0.25">
      <c r="A177" t="s">
        <v>410</v>
      </c>
      <c r="B177" s="10">
        <f>IFERROR(IFERROR(INT(VALUE(Raw_Data!B177)), DATE(RIGHT(TRIM(Raw_Data!B177),4), MID(TRIM(Raw_Data!B177),4,2), LEFT(TRIM(Raw_Data!B177),2))), "NA")</f>
        <v>46420</v>
      </c>
      <c r="C177" s="12" t="s">
        <v>192</v>
      </c>
      <c r="D177" s="12" t="str">
        <f>IF(OR(LOWER(TRIM(Raw_Data!D177))="north",LOWER(TRIM(Raw_Data!D177))="n.",LOWER(SUBSTITUTE(TRIM(Raw_Data!D177)," ",""))="north"),"North",IF(OR(LOWER(TRIM(Raw_Data!D177))="south",LOWER(TRIM(Raw_Data!D177))="s."),"South",IF(OR(LOWER(TRIM(Raw_Data!D177))="east",LOWER(TRIM(Raw_Data!D177))="e."),"East",IF(OR(LOWER(TRIM(Raw_Data!D177))="west",LOWER(TRIM(Raw_Data!D177))="w."),"West",IF(OR(LOWER(TRIM(Raw_Data!D177))="central",LOWER(TRIM(Raw_Data!D177))="c."),"Central","Unknown")))))</f>
        <v>South</v>
      </c>
      <c r="E177" s="12" t="s">
        <v>127</v>
      </c>
      <c r="F177" s="12" t="s">
        <v>128</v>
      </c>
      <c r="G177" s="12" t="s">
        <v>57</v>
      </c>
      <c r="H177" s="12">
        <f>IFERROR(VALUE(Raw_Data!H177),0)</f>
        <v>10</v>
      </c>
      <c r="I177" s="49">
        <f>IFERROR(VALUE(Raw_Data!I177),0)</f>
        <v>4500</v>
      </c>
      <c r="J177" s="12">
        <f>IFERROR(VALUE(Raw_Data!J177),0)</f>
        <v>0</v>
      </c>
      <c r="K177" s="12" t="s">
        <v>79</v>
      </c>
      <c r="L177" s="12" t="str">
        <f>IF(COUNTIF($A$2:A177, A177)&gt;1, "Duplicate", "Valid")</f>
        <v>Valid</v>
      </c>
      <c r="M177" s="50">
        <f t="shared" si="4"/>
        <v>45000</v>
      </c>
      <c r="N177" t="str">
        <f>IF(COUNTIF($A$2:A177, A177)&gt;1, "Duplicate", IF(OR(B177="NA", ISERROR(B177), ISTEXT(B177)), "Invalid Date", IF(OR(C177=0, E177=0, H177=0, I177=0, J177=0), "Missing Data", "OK")))</f>
        <v>Missing Data</v>
      </c>
      <c r="O177" t="str">
        <f>IFERROR(INDEX(Reps!$B:$B, MATCH(K177, Reps!$A:$A, 0)), "Not Found")</f>
        <v>Sneha Reddy</v>
      </c>
      <c r="P177" t="str">
        <f t="shared" si="5"/>
        <v>February</v>
      </c>
    </row>
    <row r="178" spans="1:16" x14ac:dyDescent="0.25">
      <c r="A178" t="s">
        <v>412</v>
      </c>
      <c r="B178" s="10">
        <f>IFERROR(IFERROR(INT(VALUE(Raw_Data!B178)), DATE(RIGHT(TRIM(Raw_Data!B178),4), MID(TRIM(Raw_Data!B178),4,2), LEFT(TRIM(Raw_Data!B178),2))), "NA")</f>
        <v>46075</v>
      </c>
      <c r="C178" s="12" t="s">
        <v>304</v>
      </c>
      <c r="D178" s="12" t="str">
        <f>IF(OR(LOWER(TRIM(Raw_Data!D178))="north",LOWER(TRIM(Raw_Data!D178))="n.",LOWER(SUBSTITUTE(TRIM(Raw_Data!D178)," ",""))="north"),"North",IF(OR(LOWER(TRIM(Raw_Data!D178))="south",LOWER(TRIM(Raw_Data!D178))="s."),"South",IF(OR(LOWER(TRIM(Raw_Data!D178))="east",LOWER(TRIM(Raw_Data!D178))="e."),"East",IF(OR(LOWER(TRIM(Raw_Data!D178))="west",LOWER(TRIM(Raw_Data!D178))="w."),"West",IF(OR(LOWER(TRIM(Raw_Data!D178))="central",LOWER(TRIM(Raw_Data!D178))="c."),"Central","Unknown")))))</f>
        <v>South</v>
      </c>
      <c r="E178" s="12" t="s">
        <v>98</v>
      </c>
      <c r="F178" s="12" t="s">
        <v>99</v>
      </c>
      <c r="G178" s="12" t="s">
        <v>50</v>
      </c>
      <c r="H178" s="12">
        <f>IFERROR(VALUE(Raw_Data!H178),0)</f>
        <v>9</v>
      </c>
      <c r="I178" s="49">
        <f>IFERROR(VALUE(Raw_Data!I178),0)</f>
        <v>28000</v>
      </c>
      <c r="J178" s="12">
        <f>IFERROR(VALUE(Raw_Data!J178),0)</f>
        <v>0</v>
      </c>
      <c r="K178" s="12" t="s">
        <v>102</v>
      </c>
      <c r="L178" s="12" t="str">
        <f>IF(COUNTIF($A$2:A178, A178)&gt;1, "Duplicate", "Valid")</f>
        <v>Valid</v>
      </c>
      <c r="M178" s="50">
        <f t="shared" si="4"/>
        <v>252000</v>
      </c>
      <c r="N178" t="str">
        <f>IF(COUNTIF($A$2:A178, A178)&gt;1, "Duplicate", IF(OR(B178="NA", ISERROR(B178), ISTEXT(B178)), "Invalid Date", IF(OR(C178=0, E178=0, H178=0, I178=0, J178=0), "Missing Data", "OK")))</f>
        <v>Missing Data</v>
      </c>
      <c r="O178" t="str">
        <f>IFERROR(INDEX(Reps!$B:$B, MATCH(K178, Reps!$A:$A, 0)), "Not Found")</f>
        <v>Anita Sharma</v>
      </c>
      <c r="P178" t="str">
        <f t="shared" si="5"/>
        <v>February</v>
      </c>
    </row>
    <row r="179" spans="1:16" x14ac:dyDescent="0.25">
      <c r="A179" t="s">
        <v>413</v>
      </c>
      <c r="B179" s="10">
        <f>IFERROR(IFERROR(INT(VALUE(Raw_Data!B179)), DATE(RIGHT(TRIM(Raw_Data!B179),4), MID(TRIM(Raw_Data!B179),4,2), LEFT(TRIM(Raw_Data!B179),2))), "NA")</f>
        <v>46126</v>
      </c>
      <c r="C179" s="12" t="s">
        <v>168</v>
      </c>
      <c r="D179" s="12" t="str">
        <f>IF(OR(LOWER(TRIM(Raw_Data!D179))="north",LOWER(TRIM(Raw_Data!D179))="n.",LOWER(SUBSTITUTE(TRIM(Raw_Data!D179)," ",""))="north"),"North",IF(OR(LOWER(TRIM(Raw_Data!D179))="south",LOWER(TRIM(Raw_Data!D179))="s."),"South",IF(OR(LOWER(TRIM(Raw_Data!D179))="east",LOWER(TRIM(Raw_Data!D179))="e."),"East",IF(OR(LOWER(TRIM(Raw_Data!D179))="west",LOWER(TRIM(Raw_Data!D179))="w."),"West",IF(OR(LOWER(TRIM(Raw_Data!D179))="central",LOWER(TRIM(Raw_Data!D179))="c."),"Central","Unknown")))))</f>
        <v>East</v>
      </c>
      <c r="E179" s="12" t="s">
        <v>55</v>
      </c>
      <c r="F179" s="12" t="s">
        <v>56</v>
      </c>
      <c r="G179" s="12" t="s">
        <v>57</v>
      </c>
      <c r="H179" s="12">
        <f>IFERROR(VALUE(Raw_Data!H179),0)</f>
        <v>2</v>
      </c>
      <c r="I179" s="49">
        <f>IFERROR(VALUE(Raw_Data!I179),0)</f>
        <v>65000</v>
      </c>
      <c r="J179" s="12">
        <f>IFERROR(VALUE(Raw_Data!J179),0)</f>
        <v>0.15</v>
      </c>
      <c r="K179" s="12" t="s">
        <v>102</v>
      </c>
      <c r="L179" s="12" t="str">
        <f>IF(COUNTIF($A$2:A179, A179)&gt;1, "Duplicate", "Valid")</f>
        <v>Valid</v>
      </c>
      <c r="M179" s="50">
        <f t="shared" si="4"/>
        <v>110500</v>
      </c>
      <c r="N179" t="str">
        <f>IF(COUNTIF($A$2:A179, A179)&gt;1, "Duplicate", IF(OR(B179="NA", ISERROR(B179), ISTEXT(B179)), "Invalid Date", IF(OR(C179=0, E179=0, H179=0, I179=0, J179=0), "Missing Data", "OK")))</f>
        <v>OK</v>
      </c>
      <c r="O179" t="str">
        <f>IFERROR(INDEX(Reps!$B:$B, MATCH(K179, Reps!$A:$A, 0)), "Not Found")</f>
        <v>Anita Sharma</v>
      </c>
      <c r="P179" t="str">
        <f t="shared" si="5"/>
        <v>April</v>
      </c>
    </row>
    <row r="180" spans="1:16" x14ac:dyDescent="0.25">
      <c r="A180" t="s">
        <v>415</v>
      </c>
      <c r="B180" s="10">
        <f>IFERROR(IFERROR(INT(VALUE(Raw_Data!B180)), DATE(RIGHT(TRIM(Raw_Data!B180),4), MID(TRIM(Raw_Data!B180),4,2), LEFT(TRIM(Raw_Data!B180),2))), "NA")</f>
        <v>46037</v>
      </c>
      <c r="C180" s="12" t="s">
        <v>76</v>
      </c>
      <c r="D180" s="12" t="str">
        <f>IF(OR(LOWER(TRIM(Raw_Data!D180))="north",LOWER(TRIM(Raw_Data!D180))="n.",LOWER(SUBSTITUTE(TRIM(Raw_Data!D180)," ",""))="north"),"North",IF(OR(LOWER(TRIM(Raw_Data!D180))="south",LOWER(TRIM(Raw_Data!D180))="s."),"South",IF(OR(LOWER(TRIM(Raw_Data!D180))="east",LOWER(TRIM(Raw_Data!D180))="e."),"East",IF(OR(LOWER(TRIM(Raw_Data!D180))="west",LOWER(TRIM(Raw_Data!D180))="w."),"West",IF(OR(LOWER(TRIM(Raw_Data!D180))="central",LOWER(TRIM(Raw_Data!D180))="c."),"Central","Unknown")))))</f>
        <v>West</v>
      </c>
      <c r="E180" s="12" t="s">
        <v>127</v>
      </c>
      <c r="F180" s="12" t="s">
        <v>128</v>
      </c>
      <c r="G180" s="12" t="s">
        <v>57</v>
      </c>
      <c r="H180" s="12">
        <f>IFERROR(VALUE(Raw_Data!H180),0)</f>
        <v>3</v>
      </c>
      <c r="I180" s="49">
        <f>IFERROR(VALUE(Raw_Data!I180),0)</f>
        <v>4500</v>
      </c>
      <c r="J180" s="12">
        <f>IFERROR(VALUE(Raw_Data!J180),0)</f>
        <v>0.2</v>
      </c>
      <c r="K180" s="12" t="s">
        <v>79</v>
      </c>
      <c r="L180" s="12" t="str">
        <f>IF(COUNTIF($A$2:A180, A180)&gt;1, "Duplicate", "Valid")</f>
        <v>Valid</v>
      </c>
      <c r="M180" s="50">
        <f t="shared" si="4"/>
        <v>10800</v>
      </c>
      <c r="N180" t="str">
        <f>IF(COUNTIF($A$2:A180, A180)&gt;1, "Duplicate", IF(OR(B180="NA", ISERROR(B180), ISTEXT(B180)), "Invalid Date", IF(OR(C180=0, E180=0, H180=0, I180=0, J180=0), "Missing Data", "OK")))</f>
        <v>OK</v>
      </c>
      <c r="O180" t="str">
        <f>IFERROR(INDEX(Reps!$B:$B, MATCH(K180, Reps!$A:$A, 0)), "Not Found")</f>
        <v>Sneha Reddy</v>
      </c>
      <c r="P180" t="str">
        <f t="shared" si="5"/>
        <v>January</v>
      </c>
    </row>
    <row r="181" spans="1:16" x14ac:dyDescent="0.25">
      <c r="A181" t="s">
        <v>416</v>
      </c>
      <c r="B181" s="10">
        <f>IFERROR(IFERROR(INT(VALUE(Raw_Data!B181)), DATE(RIGHT(TRIM(Raw_Data!B181),4), MID(TRIM(Raw_Data!B181),4,2), LEFT(TRIM(Raw_Data!B181),2))), "NA")</f>
        <v>46059</v>
      </c>
      <c r="C181" s="12" t="s">
        <v>123</v>
      </c>
      <c r="D181" s="12" t="str">
        <f>IF(OR(LOWER(TRIM(Raw_Data!D181))="north",LOWER(TRIM(Raw_Data!D181))="n.",LOWER(SUBSTITUTE(TRIM(Raw_Data!D181)," ",""))="north"),"North",IF(OR(LOWER(TRIM(Raw_Data!D181))="south",LOWER(TRIM(Raw_Data!D181))="s."),"South",IF(OR(LOWER(TRIM(Raw_Data!D181))="east",LOWER(TRIM(Raw_Data!D181))="e."),"East",IF(OR(LOWER(TRIM(Raw_Data!D181))="west",LOWER(TRIM(Raw_Data!D181))="w."),"West",IF(OR(LOWER(TRIM(Raw_Data!D181))="central",LOWER(TRIM(Raw_Data!D181))="c."),"Central","Unknown")))))</f>
        <v>South</v>
      </c>
      <c r="E181" s="12" t="s">
        <v>77</v>
      </c>
      <c r="F181" s="12" t="s">
        <v>78</v>
      </c>
      <c r="G181" s="12" t="s">
        <v>57</v>
      </c>
      <c r="H181" s="12">
        <f>IFERROR(VALUE(Raw_Data!H181),0)</f>
        <v>1</v>
      </c>
      <c r="I181" s="49">
        <f>IFERROR(VALUE(Raw_Data!I181),0)</f>
        <v>3500</v>
      </c>
      <c r="J181" s="12">
        <f>IFERROR(VALUE(Raw_Data!J181),0)</f>
        <v>0.25</v>
      </c>
      <c r="K181" s="12" t="s">
        <v>74</v>
      </c>
      <c r="L181" s="12" t="str">
        <f>IF(COUNTIF($A$2:A181, A181)&gt;1, "Duplicate", "Valid")</f>
        <v>Valid</v>
      </c>
      <c r="M181" s="50">
        <f t="shared" si="4"/>
        <v>2625</v>
      </c>
      <c r="N181" t="str">
        <f>IF(COUNTIF($A$2:A181, A181)&gt;1, "Duplicate", IF(OR(B181="NA", ISERROR(B181), ISTEXT(B181)), "Invalid Date", IF(OR(C181=0, E181=0, H181=0, I181=0, J181=0), "Missing Data", "OK")))</f>
        <v>OK</v>
      </c>
      <c r="O181" t="str">
        <f>IFERROR(INDEX(Reps!$B:$B, MATCH(K181, Reps!$A:$A, 0)), "Not Found")</f>
        <v>Rahul Verma</v>
      </c>
      <c r="P181" t="str">
        <f t="shared" si="5"/>
        <v>February</v>
      </c>
    </row>
    <row r="182" spans="1:16" x14ac:dyDescent="0.25">
      <c r="A182" t="s">
        <v>417</v>
      </c>
      <c r="B182" s="10">
        <f>IFERROR(IFERROR(INT(VALUE(Raw_Data!B182)), DATE(RIGHT(TRIM(Raw_Data!B182),4), MID(TRIM(Raw_Data!B182),4,2), LEFT(TRIM(Raw_Data!B182),2))), "NA")</f>
        <v>46065</v>
      </c>
      <c r="C182" s="12" t="s">
        <v>192</v>
      </c>
      <c r="D182" s="12" t="str">
        <f>IF(OR(LOWER(TRIM(Raw_Data!D182))="north",LOWER(TRIM(Raw_Data!D182))="n.",LOWER(SUBSTITUTE(TRIM(Raw_Data!D182)," ",""))="north"),"North",IF(OR(LOWER(TRIM(Raw_Data!D182))="south",LOWER(TRIM(Raw_Data!D182))="s."),"South",IF(OR(LOWER(TRIM(Raw_Data!D182))="east",LOWER(TRIM(Raw_Data!D182))="e."),"East",IF(OR(LOWER(TRIM(Raw_Data!D182))="west",LOWER(TRIM(Raw_Data!D182))="w."),"West",IF(OR(LOWER(TRIM(Raw_Data!D182))="central",LOWER(TRIM(Raw_Data!D182))="c."),"Central","Unknown")))))</f>
        <v>Unknown</v>
      </c>
      <c r="E182" s="12" t="s">
        <v>89</v>
      </c>
      <c r="F182" s="12" t="s">
        <v>90</v>
      </c>
      <c r="G182" s="12" t="s">
        <v>91</v>
      </c>
      <c r="H182" s="12">
        <f>IFERROR(VALUE(Raw_Data!H182),0)</f>
        <v>6</v>
      </c>
      <c r="I182" s="49">
        <f>IFERROR(VALUE(Raw_Data!I182),0)</f>
        <v>2200</v>
      </c>
      <c r="J182" s="12">
        <f>IFERROR(VALUE(Raw_Data!J182),0)</f>
        <v>0.05</v>
      </c>
      <c r="K182" s="12" t="s">
        <v>102</v>
      </c>
      <c r="L182" s="12" t="str">
        <f>IF(COUNTIF($A$2:A182, A182)&gt;1, "Duplicate", "Valid")</f>
        <v>Valid</v>
      </c>
      <c r="M182" s="50">
        <f t="shared" si="4"/>
        <v>12540</v>
      </c>
      <c r="N182" t="str">
        <f>IF(COUNTIF($A$2:A182, A182)&gt;1, "Duplicate", IF(OR(B182="NA", ISERROR(B182), ISTEXT(B182)), "Invalid Date", IF(OR(C182=0, E182=0, H182=0, I182=0, J182=0), "Missing Data", "OK")))</f>
        <v>OK</v>
      </c>
      <c r="O182" t="str">
        <f>IFERROR(INDEX(Reps!$B:$B, MATCH(K182, Reps!$A:$A, 0)), "Not Found")</f>
        <v>Anita Sharma</v>
      </c>
      <c r="P182" t="str">
        <f t="shared" si="5"/>
        <v>February</v>
      </c>
    </row>
    <row r="183" spans="1:16" x14ac:dyDescent="0.25">
      <c r="A183" t="s">
        <v>419</v>
      </c>
      <c r="B183" s="10">
        <f>IFERROR(IFERROR(INT(VALUE(Raw_Data!B183)), DATE(RIGHT(TRIM(Raw_Data!B183),4), MID(TRIM(Raw_Data!B183),4,2), LEFT(TRIM(Raw_Data!B183),2))), "NA")</f>
        <v>46097</v>
      </c>
      <c r="C183" s="12" t="s">
        <v>64</v>
      </c>
      <c r="D183" s="12" t="str">
        <f>IF(OR(LOWER(TRIM(Raw_Data!D183))="north",LOWER(TRIM(Raw_Data!D183))="n.",LOWER(SUBSTITUTE(TRIM(Raw_Data!D183)," ",""))="north"),"North",IF(OR(LOWER(TRIM(Raw_Data!D183))="south",LOWER(TRIM(Raw_Data!D183))="s."),"South",IF(OR(LOWER(TRIM(Raw_Data!D183))="east",LOWER(TRIM(Raw_Data!D183))="e."),"East",IF(OR(LOWER(TRIM(Raw_Data!D183))="west",LOWER(TRIM(Raw_Data!D183))="w."),"West",IF(OR(LOWER(TRIM(Raw_Data!D183))="central",LOWER(TRIM(Raw_Data!D183))="c."),"Central","Unknown")))))</f>
        <v>Central</v>
      </c>
      <c r="E183" s="12" t="s">
        <v>127</v>
      </c>
      <c r="F183" s="12" t="s">
        <v>128</v>
      </c>
      <c r="G183" s="12" t="s">
        <v>57</v>
      </c>
      <c r="H183" s="12">
        <f>IFERROR(VALUE(Raw_Data!H183),0)</f>
        <v>1</v>
      </c>
      <c r="I183" s="49">
        <f>IFERROR(VALUE(Raw_Data!I183),0)</f>
        <v>4500</v>
      </c>
      <c r="J183" s="12">
        <f>IFERROR(VALUE(Raw_Data!J183),0)</f>
        <v>0</v>
      </c>
      <c r="K183" s="12" t="s">
        <v>79</v>
      </c>
      <c r="L183" s="12" t="str">
        <f>IF(COUNTIF($A$2:A183, A183)&gt;1, "Duplicate", "Valid")</f>
        <v>Valid</v>
      </c>
      <c r="M183" s="50">
        <f t="shared" si="4"/>
        <v>4500</v>
      </c>
      <c r="N183" t="str">
        <f>IF(COUNTIF($A$2:A183, A183)&gt;1, "Duplicate", IF(OR(B183="NA", ISERROR(B183), ISTEXT(B183)), "Invalid Date", IF(OR(C183=0, E183=0, H183=0, I183=0, J183=0), "Missing Data", "OK")))</f>
        <v>Missing Data</v>
      </c>
      <c r="O183" t="str">
        <f>IFERROR(INDEX(Reps!$B:$B, MATCH(K183, Reps!$A:$A, 0)), "Not Found")</f>
        <v>Sneha Reddy</v>
      </c>
      <c r="P183" t="str">
        <f t="shared" si="5"/>
        <v>March</v>
      </c>
    </row>
    <row r="184" spans="1:16" x14ac:dyDescent="0.25">
      <c r="A184" t="s">
        <v>420</v>
      </c>
      <c r="B184" s="10">
        <f>IFERROR(IFERROR(INT(VALUE(Raw_Data!B184)), DATE(RIGHT(TRIM(Raw_Data!B184),4), MID(TRIM(Raw_Data!B184),4,2), LEFT(TRIM(Raw_Data!B184),2))), "NA")</f>
        <v>46784</v>
      </c>
      <c r="C184" s="12" t="s">
        <v>138</v>
      </c>
      <c r="D184" s="12" t="str">
        <f>IF(OR(LOWER(TRIM(Raw_Data!D184))="north",LOWER(TRIM(Raw_Data!D184))="n.",LOWER(SUBSTITUTE(TRIM(Raw_Data!D184)," ",""))="north"),"North",IF(OR(LOWER(TRIM(Raw_Data!D184))="south",LOWER(TRIM(Raw_Data!D184))="s."),"South",IF(OR(LOWER(TRIM(Raw_Data!D184))="east",LOWER(TRIM(Raw_Data!D184))="e."),"East",IF(OR(LOWER(TRIM(Raw_Data!D184))="west",LOWER(TRIM(Raw_Data!D184))="w."),"West",IF(OR(LOWER(TRIM(Raw_Data!D184))="central",LOWER(TRIM(Raw_Data!D184))="c."),"Central","Unknown")))))</f>
        <v>South</v>
      </c>
      <c r="E184" s="12" t="s">
        <v>127</v>
      </c>
      <c r="F184" s="12" t="s">
        <v>128</v>
      </c>
      <c r="G184" s="12" t="s">
        <v>57</v>
      </c>
      <c r="H184" s="12">
        <f>IFERROR(VALUE(Raw_Data!H184),0)</f>
        <v>9</v>
      </c>
      <c r="I184" s="49">
        <f>IFERROR(VALUE(Raw_Data!I184),0)</f>
        <v>4500</v>
      </c>
      <c r="J184" s="12">
        <f>IFERROR(VALUE(Raw_Data!J184),0)</f>
        <v>0</v>
      </c>
      <c r="K184" s="12" t="s">
        <v>51</v>
      </c>
      <c r="L184" s="12" t="str">
        <f>IF(COUNTIF($A$2:A184, A184)&gt;1, "Duplicate", "Valid")</f>
        <v>Valid</v>
      </c>
      <c r="M184" s="50">
        <f t="shared" si="4"/>
        <v>40500</v>
      </c>
      <c r="N184" t="str">
        <f>IF(COUNTIF($A$2:A184, A184)&gt;1, "Duplicate", IF(OR(B184="NA", ISERROR(B184), ISTEXT(B184)), "Invalid Date", IF(OR(C184=0, E184=0, H184=0, I184=0, J184=0), "Missing Data", "OK")))</f>
        <v>Missing Data</v>
      </c>
      <c r="O184" t="str">
        <f>IFERROR(INDEX(Reps!$B:$B, MATCH(K184, Reps!$A:$A, 0)), "Not Found")</f>
        <v>Priya Iyer</v>
      </c>
      <c r="P184" t="str">
        <f t="shared" si="5"/>
        <v>February</v>
      </c>
    </row>
    <row r="185" spans="1:16" x14ac:dyDescent="0.25">
      <c r="A185" t="s">
        <v>421</v>
      </c>
      <c r="B185" s="10">
        <f>IFERROR(IFERROR(INT(VALUE(Raw_Data!B185)), DATE(RIGHT(TRIM(Raw_Data!B185),4), MID(TRIM(Raw_Data!B185),4,2), LEFT(TRIM(Raw_Data!B185),2))), "NA")</f>
        <v>45850</v>
      </c>
      <c r="C185" s="12" t="s">
        <v>68</v>
      </c>
      <c r="D185" s="12" t="str">
        <f>IF(OR(LOWER(TRIM(Raw_Data!D185))="north",LOWER(TRIM(Raw_Data!D185))="n.",LOWER(SUBSTITUTE(TRIM(Raw_Data!D185)," ",""))="north"),"North",IF(OR(LOWER(TRIM(Raw_Data!D185))="south",LOWER(TRIM(Raw_Data!D185))="s."),"South",IF(OR(LOWER(TRIM(Raw_Data!D185))="east",LOWER(TRIM(Raw_Data!D185))="e."),"East",IF(OR(LOWER(TRIM(Raw_Data!D185))="west",LOWER(TRIM(Raw_Data!D185))="w."),"West",IF(OR(LOWER(TRIM(Raw_Data!D185))="central",LOWER(TRIM(Raw_Data!D185))="c."),"Central","Unknown")))))</f>
        <v>South</v>
      </c>
      <c r="E185" s="12" t="s">
        <v>77</v>
      </c>
      <c r="F185" s="12" t="s">
        <v>78</v>
      </c>
      <c r="G185" s="12" t="s">
        <v>57</v>
      </c>
      <c r="H185" s="12">
        <f>IFERROR(VALUE(Raw_Data!H185),0)</f>
        <v>5</v>
      </c>
      <c r="I185" s="49">
        <f>IFERROR(VALUE(Raw_Data!I185),0)</f>
        <v>3500</v>
      </c>
      <c r="J185" s="12">
        <f>IFERROR(VALUE(Raw_Data!J185),0)</f>
        <v>0.15</v>
      </c>
      <c r="K185" s="12" t="s">
        <v>70</v>
      </c>
      <c r="L185" s="12" t="str">
        <f>IF(COUNTIF($A$2:A185, A185)&gt;1, "Duplicate", "Valid")</f>
        <v>Valid</v>
      </c>
      <c r="M185" s="50">
        <f t="shared" si="4"/>
        <v>14875</v>
      </c>
      <c r="N185" t="str">
        <f>IF(COUNTIF($A$2:A185, A185)&gt;1, "Duplicate", IF(OR(B185="NA", ISERROR(B185), ISTEXT(B185)), "Invalid Date", IF(OR(C185=0, E185=0, H185=0, I185=0, J185=0), "Missing Data", "OK")))</f>
        <v>OK</v>
      </c>
      <c r="O185" t="str">
        <f>IFERROR(INDEX(Reps!$B:$B, MATCH(K185, Reps!$A:$A, 0)), "Not Found")</f>
        <v>Vikram Nair</v>
      </c>
      <c r="P185" t="str">
        <f t="shared" si="5"/>
        <v>July</v>
      </c>
    </row>
    <row r="186" spans="1:16" x14ac:dyDescent="0.25">
      <c r="A186" t="s">
        <v>423</v>
      </c>
      <c r="B186" s="10">
        <f>IFERROR(IFERROR(INT(VALUE(Raw_Data!B186)), DATE(RIGHT(TRIM(Raw_Data!B186),4), MID(TRIM(Raw_Data!B186),4,2), LEFT(TRIM(Raw_Data!B186),2))), "NA")</f>
        <v>46723</v>
      </c>
      <c r="C186" s="12" t="s">
        <v>60</v>
      </c>
      <c r="D186" s="12" t="str">
        <f>IF(OR(LOWER(TRIM(Raw_Data!D186))="north",LOWER(TRIM(Raw_Data!D186))="n.",LOWER(SUBSTITUTE(TRIM(Raw_Data!D186)," ",""))="north"),"North",IF(OR(LOWER(TRIM(Raw_Data!D186))="south",LOWER(TRIM(Raw_Data!D186))="s."),"South",IF(OR(LOWER(TRIM(Raw_Data!D186))="east",LOWER(TRIM(Raw_Data!D186))="e."),"East",IF(OR(LOWER(TRIM(Raw_Data!D186))="west",LOWER(TRIM(Raw_Data!D186))="w."),"West",IF(OR(LOWER(TRIM(Raw_Data!D186))="central",LOWER(TRIM(Raw_Data!D186))="c."),"Central","Unknown")))))</f>
        <v>North</v>
      </c>
      <c r="E186" s="12" t="s">
        <v>40</v>
      </c>
      <c r="F186" s="12" t="s">
        <v>41</v>
      </c>
      <c r="G186" s="12" t="s">
        <v>42</v>
      </c>
      <c r="H186" s="12">
        <f>IFERROR(VALUE(Raw_Data!H186),0)</f>
        <v>11</v>
      </c>
      <c r="I186" s="49">
        <f>IFERROR(VALUE(Raw_Data!I186),0)</f>
        <v>450</v>
      </c>
      <c r="J186" s="12">
        <f>IFERROR(VALUE(Raw_Data!J186),0)</f>
        <v>0.15</v>
      </c>
      <c r="K186" s="12" t="s">
        <v>74</v>
      </c>
      <c r="L186" s="12" t="str">
        <f>IF(COUNTIF($A$2:A186, A186)&gt;1, "Duplicate", "Valid")</f>
        <v>Valid</v>
      </c>
      <c r="M186" s="50">
        <f t="shared" si="4"/>
        <v>4207.5</v>
      </c>
      <c r="N186" t="str">
        <f>IF(COUNTIF($A$2:A186, A186)&gt;1, "Duplicate", IF(OR(B186="NA", ISERROR(B186), ISTEXT(B186)), "Invalid Date", IF(OR(C186=0, E186=0, H186=0, I186=0, J186=0), "Missing Data", "OK")))</f>
        <v>OK</v>
      </c>
      <c r="O186" t="str">
        <f>IFERROR(INDEX(Reps!$B:$B, MATCH(K186, Reps!$A:$A, 0)), "Not Found")</f>
        <v>Rahul Verma</v>
      </c>
      <c r="P186" t="str">
        <f t="shared" si="5"/>
        <v>December</v>
      </c>
    </row>
    <row r="187" spans="1:16" x14ac:dyDescent="0.25">
      <c r="A187" t="s">
        <v>425</v>
      </c>
      <c r="B187" s="10">
        <f>IFERROR(IFERROR(INT(VALUE(Raw_Data!B187)), DATE(RIGHT(TRIM(Raw_Data!B187),4), MID(TRIM(Raw_Data!B187),4,2), LEFT(TRIM(Raw_Data!B187),2))), "NA")</f>
        <v>46008</v>
      </c>
      <c r="C187" s="12" t="s">
        <v>181</v>
      </c>
      <c r="D187" s="12" t="str">
        <f>IF(OR(LOWER(TRIM(Raw_Data!D187))="north",LOWER(TRIM(Raw_Data!D187))="n.",LOWER(SUBSTITUTE(TRIM(Raw_Data!D187)," ",""))="north"),"North",IF(OR(LOWER(TRIM(Raw_Data!D187))="south",LOWER(TRIM(Raw_Data!D187))="s."),"South",IF(OR(LOWER(TRIM(Raw_Data!D187))="east",LOWER(TRIM(Raw_Data!D187))="e."),"East",IF(OR(LOWER(TRIM(Raw_Data!D187))="west",LOWER(TRIM(Raw_Data!D187))="w."),"West",IF(OR(LOWER(TRIM(Raw_Data!D187))="central",LOWER(TRIM(Raw_Data!D187))="c."),"Central","Unknown")))))</f>
        <v>North</v>
      </c>
      <c r="E187" s="12" t="s">
        <v>127</v>
      </c>
      <c r="F187" s="12" t="s">
        <v>128</v>
      </c>
      <c r="G187" s="12" t="s">
        <v>57</v>
      </c>
      <c r="H187" s="12">
        <f>IFERROR(VALUE(Raw_Data!H187),0)</f>
        <v>6</v>
      </c>
      <c r="I187" s="49">
        <f>IFERROR(VALUE(Raw_Data!I187),0)</f>
        <v>4500</v>
      </c>
      <c r="J187" s="12">
        <f>IFERROR(VALUE(Raw_Data!J187),0)</f>
        <v>0.2</v>
      </c>
      <c r="K187" s="12" t="s">
        <v>74</v>
      </c>
      <c r="L187" s="12" t="str">
        <f>IF(COUNTIF($A$2:A187, A187)&gt;1, "Duplicate", "Valid")</f>
        <v>Valid</v>
      </c>
      <c r="M187" s="50">
        <f t="shared" si="4"/>
        <v>21600</v>
      </c>
      <c r="N187" t="str">
        <f>IF(COUNTIF($A$2:A187, A187)&gt;1, "Duplicate", IF(OR(B187="NA", ISERROR(B187), ISTEXT(B187)), "Invalid Date", IF(OR(C187=0, E187=0, H187=0, I187=0, J187=0), "Missing Data", "OK")))</f>
        <v>OK</v>
      </c>
      <c r="O187" t="str">
        <f>IFERROR(INDEX(Reps!$B:$B, MATCH(K187, Reps!$A:$A, 0)), "Not Found")</f>
        <v>Rahul Verma</v>
      </c>
      <c r="P187" t="str">
        <f t="shared" si="5"/>
        <v>December</v>
      </c>
    </row>
    <row r="188" spans="1:16" x14ac:dyDescent="0.25">
      <c r="A188" t="s">
        <v>426</v>
      </c>
      <c r="B188" s="10">
        <f>IFERROR(IFERROR(INT(VALUE(Raw_Data!B188)), DATE(RIGHT(TRIM(Raw_Data!B188),4), MID(TRIM(Raw_Data!B188),4,2), LEFT(TRIM(Raw_Data!B188),2))), "NA")</f>
        <v>46049</v>
      </c>
      <c r="C188" s="12" t="s">
        <v>46</v>
      </c>
      <c r="D188" s="12" t="str">
        <f>IF(OR(LOWER(TRIM(Raw_Data!D188))="north",LOWER(TRIM(Raw_Data!D188))="n.",LOWER(SUBSTITUTE(TRIM(Raw_Data!D188)," ",""))="north"),"North",IF(OR(LOWER(TRIM(Raw_Data!D188))="south",LOWER(TRIM(Raw_Data!D188))="s."),"South",IF(OR(LOWER(TRIM(Raw_Data!D188))="east",LOWER(TRIM(Raw_Data!D188))="e."),"East",IF(OR(LOWER(TRIM(Raw_Data!D188))="west",LOWER(TRIM(Raw_Data!D188))="w."),"West",IF(OR(LOWER(TRIM(Raw_Data!D188))="central",LOWER(TRIM(Raw_Data!D188))="c."),"Central","Unknown")))))</f>
        <v>East</v>
      </c>
      <c r="E188" s="12" t="s">
        <v>120</v>
      </c>
      <c r="F188" s="12" t="s">
        <v>121</v>
      </c>
      <c r="G188" s="12" t="s">
        <v>42</v>
      </c>
      <c r="H188" s="12">
        <f>IFERROR(VALUE(Raw_Data!H188),0)</f>
        <v>10</v>
      </c>
      <c r="I188" s="49">
        <f>IFERROR(VALUE(Raw_Data!I188),0)</f>
        <v>250</v>
      </c>
      <c r="J188" s="12">
        <f>IFERROR(VALUE(Raw_Data!J188),0)</f>
        <v>0.2</v>
      </c>
      <c r="K188" s="12" t="s">
        <v>79</v>
      </c>
      <c r="L188" s="12" t="str">
        <f>IF(COUNTIF($A$2:A188, A188)&gt;1, "Duplicate", "Valid")</f>
        <v>Valid</v>
      </c>
      <c r="M188" s="50">
        <f t="shared" si="4"/>
        <v>2000</v>
      </c>
      <c r="N188" t="str">
        <f>IF(COUNTIF($A$2:A188, A188)&gt;1, "Duplicate", IF(OR(B188="NA", ISERROR(B188), ISTEXT(B188)), "Invalid Date", IF(OR(C188=0, E188=0, H188=0, I188=0, J188=0), "Missing Data", "OK")))</f>
        <v>OK</v>
      </c>
      <c r="O188" t="str">
        <f>IFERROR(INDEX(Reps!$B:$B, MATCH(K188, Reps!$A:$A, 0)), "Not Found")</f>
        <v>Sneha Reddy</v>
      </c>
      <c r="P188" t="str">
        <f t="shared" si="5"/>
        <v>January</v>
      </c>
    </row>
    <row r="189" spans="1:16" x14ac:dyDescent="0.25">
      <c r="A189" t="s">
        <v>100</v>
      </c>
      <c r="B189" s="10">
        <f>IFERROR(IFERROR(INT(VALUE(Raw_Data!B189)), DATE(RIGHT(TRIM(Raw_Data!B189),4), MID(TRIM(Raw_Data!B189),4,2), LEFT(TRIM(Raw_Data!B189),2))), "NA")</f>
        <v>45965</v>
      </c>
      <c r="C189" s="12" t="s">
        <v>53</v>
      </c>
      <c r="D189" s="12" t="str">
        <f>IF(OR(LOWER(TRIM(Raw_Data!D189))="north",LOWER(TRIM(Raw_Data!D189))="n.",LOWER(SUBSTITUTE(TRIM(Raw_Data!D189)," ",""))="north"),"North",IF(OR(LOWER(TRIM(Raw_Data!D189))="south",LOWER(TRIM(Raw_Data!D189))="s."),"South",IF(OR(LOWER(TRIM(Raw_Data!D189))="east",LOWER(TRIM(Raw_Data!D189))="e."),"East",IF(OR(LOWER(TRIM(Raw_Data!D189))="west",LOWER(TRIM(Raw_Data!D189))="w."),"West",IF(OR(LOWER(TRIM(Raw_Data!D189))="central",LOWER(TRIM(Raw_Data!D189))="c."),"Central","Unknown")))))</f>
        <v>Unknown</v>
      </c>
      <c r="E189" s="12" t="s">
        <v>40</v>
      </c>
      <c r="F189" s="12" t="s">
        <v>41</v>
      </c>
      <c r="G189" s="12" t="s">
        <v>42</v>
      </c>
      <c r="H189" s="12">
        <f>IFERROR(VALUE(Raw_Data!H189),0)</f>
        <v>1</v>
      </c>
      <c r="I189" s="49">
        <f>IFERROR(VALUE(Raw_Data!I189),0)</f>
        <v>450</v>
      </c>
      <c r="J189" s="12">
        <f>IFERROR(VALUE(Raw_Data!J189),0)</f>
        <v>0.25</v>
      </c>
      <c r="K189" s="12" t="s">
        <v>102</v>
      </c>
      <c r="L189" s="12" t="str">
        <f>IF(COUNTIF($A$2:A189, A189)&gt;1, "Duplicate", "Valid")</f>
        <v>Duplicate</v>
      </c>
      <c r="M189" s="50">
        <f t="shared" si="4"/>
        <v>337.5</v>
      </c>
      <c r="N189" t="str">
        <f>IF(COUNTIF($A$2:A189, A189)&gt;1, "Duplicate", IF(OR(B189="NA", ISERROR(B189), ISTEXT(B189)), "Invalid Date", IF(OR(C189=0, E189=0, H189=0, I189=0, J189=0), "Missing Data", "OK")))</f>
        <v>Duplicate</v>
      </c>
      <c r="O189" t="str">
        <f>IFERROR(INDEX(Reps!$B:$B, MATCH(K189, Reps!$A:$A, 0)), "Not Found")</f>
        <v>Anita Sharma</v>
      </c>
      <c r="P189" t="str">
        <f t="shared" si="5"/>
        <v>November</v>
      </c>
    </row>
    <row r="190" spans="1:16" x14ac:dyDescent="0.25">
      <c r="A190" t="s">
        <v>427</v>
      </c>
      <c r="B190" s="10">
        <f>IFERROR(IFERROR(INT(VALUE(Raw_Data!B190)), DATE(RIGHT(TRIM(Raw_Data!B190),4), MID(TRIM(Raw_Data!B190),4,2), LEFT(TRIM(Raw_Data!B190),2))), "NA")</f>
        <v>46017</v>
      </c>
      <c r="C190" s="12" t="s">
        <v>144</v>
      </c>
      <c r="D190" s="12" t="str">
        <f>IF(OR(LOWER(TRIM(Raw_Data!D190))="north",LOWER(TRIM(Raw_Data!D190))="n.",LOWER(SUBSTITUTE(TRIM(Raw_Data!D190)," ",""))="north"),"North",IF(OR(LOWER(TRIM(Raw_Data!D190))="south",LOWER(TRIM(Raw_Data!D190))="s."),"South",IF(OR(LOWER(TRIM(Raw_Data!D190))="east",LOWER(TRIM(Raw_Data!D190))="e."),"East",IF(OR(LOWER(TRIM(Raw_Data!D190))="west",LOWER(TRIM(Raw_Data!D190))="w."),"West",IF(OR(LOWER(TRIM(Raw_Data!D190))="central",LOWER(TRIM(Raw_Data!D190))="c."),"Central","Unknown")))))</f>
        <v>West</v>
      </c>
      <c r="E190" s="12" t="s">
        <v>40</v>
      </c>
      <c r="F190" s="12" t="s">
        <v>41</v>
      </c>
      <c r="G190" s="12" t="s">
        <v>42</v>
      </c>
      <c r="H190" s="12">
        <f>IFERROR(VALUE(Raw_Data!H190),0)</f>
        <v>3</v>
      </c>
      <c r="I190" s="49">
        <f>IFERROR(VALUE(Raw_Data!I190),0)</f>
        <v>450</v>
      </c>
      <c r="J190" s="12">
        <f>IFERROR(VALUE(Raw_Data!J190),0)</f>
        <v>0.25</v>
      </c>
      <c r="K190" s="12" t="s">
        <v>79</v>
      </c>
      <c r="L190" s="12" t="str">
        <f>IF(COUNTIF($A$2:A190, A190)&gt;1, "Duplicate", "Valid")</f>
        <v>Valid</v>
      </c>
      <c r="M190" s="50">
        <f t="shared" si="4"/>
        <v>1012.5</v>
      </c>
      <c r="N190" t="str">
        <f>IF(COUNTIF($A$2:A190, A190)&gt;1, "Duplicate", IF(OR(B190="NA", ISERROR(B190), ISTEXT(B190)), "Invalid Date", IF(OR(C190=0, E190=0, H190=0, I190=0, J190=0), "Missing Data", "OK")))</f>
        <v>OK</v>
      </c>
      <c r="O190" t="str">
        <f>IFERROR(INDEX(Reps!$B:$B, MATCH(K190, Reps!$A:$A, 0)), "Not Found")</f>
        <v>Sneha Reddy</v>
      </c>
      <c r="P190" t="str">
        <f t="shared" si="5"/>
        <v>December</v>
      </c>
    </row>
    <row r="191" spans="1:16" x14ac:dyDescent="0.25">
      <c r="A191" t="s">
        <v>317</v>
      </c>
      <c r="B191" s="10">
        <f>IFERROR(IFERROR(INT(VALUE(Raw_Data!B191)), DATE(RIGHT(TRIM(Raw_Data!B191),4), MID(TRIM(Raw_Data!B191),4,2), LEFT(TRIM(Raw_Data!B191),2))), "NA")</f>
        <v>46098</v>
      </c>
      <c r="C191" s="12" t="s">
        <v>168</v>
      </c>
      <c r="D191" s="12" t="str">
        <f>IF(OR(LOWER(TRIM(Raw_Data!D191))="north",LOWER(TRIM(Raw_Data!D191))="n.",LOWER(SUBSTITUTE(TRIM(Raw_Data!D191)," ",""))="north"),"North",IF(OR(LOWER(TRIM(Raw_Data!D191))="south",LOWER(TRIM(Raw_Data!D191))="s."),"South",IF(OR(LOWER(TRIM(Raw_Data!D191))="east",LOWER(TRIM(Raw_Data!D191))="e."),"East",IF(OR(LOWER(TRIM(Raw_Data!D191))="west",LOWER(TRIM(Raw_Data!D191))="w."),"West",IF(OR(LOWER(TRIM(Raw_Data!D191))="central",LOWER(TRIM(Raw_Data!D191))="c."),"Central","Unknown")))))</f>
        <v>East</v>
      </c>
      <c r="E191" s="12" t="s">
        <v>120</v>
      </c>
      <c r="F191" s="12" t="s">
        <v>121</v>
      </c>
      <c r="G191" s="12" t="s">
        <v>42</v>
      </c>
      <c r="H191" s="12">
        <f>IFERROR(VALUE(Raw_Data!H191),0)</f>
        <v>10</v>
      </c>
      <c r="I191" s="49">
        <f>IFERROR(VALUE(Raw_Data!I191),0)</f>
        <v>250</v>
      </c>
      <c r="J191" s="12">
        <f>IFERROR(VALUE(Raw_Data!J191),0)</f>
        <v>0</v>
      </c>
      <c r="K191" s="12" t="s">
        <v>51</v>
      </c>
      <c r="L191" s="12" t="str">
        <f>IF(COUNTIF($A$2:A191, A191)&gt;1, "Duplicate", "Valid")</f>
        <v>Duplicate</v>
      </c>
      <c r="M191" s="50">
        <f t="shared" si="4"/>
        <v>2500</v>
      </c>
      <c r="N191" t="str">
        <f>IF(COUNTIF($A$2:A191, A191)&gt;1, "Duplicate", IF(OR(B191="NA", ISERROR(B191), ISTEXT(B191)), "Invalid Date", IF(OR(C191=0, E191=0, H191=0, I191=0, J191=0), "Missing Data", "OK")))</f>
        <v>Duplicate</v>
      </c>
      <c r="O191" t="str">
        <f>IFERROR(INDEX(Reps!$B:$B, MATCH(K191, Reps!$A:$A, 0)), "Not Found")</f>
        <v>Priya Iyer</v>
      </c>
      <c r="P191" t="str">
        <f t="shared" si="5"/>
        <v>March</v>
      </c>
    </row>
    <row r="192" spans="1:16" x14ac:dyDescent="0.25">
      <c r="A192" t="s">
        <v>428</v>
      </c>
      <c r="B192" s="10">
        <f>IFERROR(IFERROR(INT(VALUE(Raw_Data!B192)), DATE(RIGHT(TRIM(Raw_Data!B192),4), MID(TRIM(Raw_Data!B192),4,2), LEFT(TRIM(Raw_Data!B192),2))), "NA")</f>
        <v>46937</v>
      </c>
      <c r="C192" s="12" t="s">
        <v>144</v>
      </c>
      <c r="D192" s="12" t="str">
        <f>IF(OR(LOWER(TRIM(Raw_Data!D192))="north",LOWER(TRIM(Raw_Data!D192))="n.",LOWER(SUBSTITUTE(TRIM(Raw_Data!D192)," ",""))="north"),"North",IF(OR(LOWER(TRIM(Raw_Data!D192))="south",LOWER(TRIM(Raw_Data!D192))="s."),"South",IF(OR(LOWER(TRIM(Raw_Data!D192))="east",LOWER(TRIM(Raw_Data!D192))="e."),"East",IF(OR(LOWER(TRIM(Raw_Data!D192))="west",LOWER(TRIM(Raw_Data!D192))="w."),"West",IF(OR(LOWER(TRIM(Raw_Data!D192))="central",LOWER(TRIM(Raw_Data!D192))="c."),"Central","Unknown")))))</f>
        <v>North</v>
      </c>
      <c r="E192" s="12" t="s">
        <v>77</v>
      </c>
      <c r="F192" s="12" t="s">
        <v>78</v>
      </c>
      <c r="G192" s="12" t="s">
        <v>57</v>
      </c>
      <c r="H192" s="12">
        <f>IFERROR(VALUE(Raw_Data!H192),0)</f>
        <v>10</v>
      </c>
      <c r="I192" s="49">
        <f>IFERROR(VALUE(Raw_Data!I192),0)</f>
        <v>3500</v>
      </c>
      <c r="J192" s="12">
        <f>IFERROR(VALUE(Raw_Data!J192),0)</f>
        <v>0</v>
      </c>
      <c r="K192" s="12" t="s">
        <v>51</v>
      </c>
      <c r="L192" s="12" t="str">
        <f>IF(COUNTIF($A$2:A192, A192)&gt;1, "Duplicate", "Valid")</f>
        <v>Valid</v>
      </c>
      <c r="M192" s="50">
        <f t="shared" si="4"/>
        <v>35000</v>
      </c>
      <c r="N192" t="str">
        <f>IF(COUNTIF($A$2:A192, A192)&gt;1, "Duplicate", IF(OR(B192="NA", ISERROR(B192), ISTEXT(B192)), "Invalid Date", IF(OR(C192=0, E192=0, H192=0, I192=0, J192=0), "Missing Data", "OK")))</f>
        <v>Missing Data</v>
      </c>
      <c r="O192" t="str">
        <f>IFERROR(INDEX(Reps!$B:$B, MATCH(K192, Reps!$A:$A, 0)), "Not Found")</f>
        <v>Priya Iyer</v>
      </c>
      <c r="P192" t="str">
        <f t="shared" si="5"/>
        <v>July</v>
      </c>
    </row>
    <row r="193" spans="1:16" x14ac:dyDescent="0.25">
      <c r="A193" t="s">
        <v>430</v>
      </c>
      <c r="B193" s="10">
        <f>IFERROR(IFERROR(INT(VALUE(Raw_Data!B193)), DATE(RIGHT(TRIM(Raw_Data!B193),4), MID(TRIM(Raw_Data!B193),4,2), LEFT(TRIM(Raw_Data!B193),2))), "NA")</f>
        <v>45968</v>
      </c>
      <c r="C193" s="12" t="s">
        <v>131</v>
      </c>
      <c r="D193" s="12" t="str">
        <f>IF(OR(LOWER(TRIM(Raw_Data!D193))="north",LOWER(TRIM(Raw_Data!D193))="n.",LOWER(SUBSTITUTE(TRIM(Raw_Data!D193)," ",""))="north"),"North",IF(OR(LOWER(TRIM(Raw_Data!D193))="south",LOWER(TRIM(Raw_Data!D193))="s."),"South",IF(OR(LOWER(TRIM(Raw_Data!D193))="east",LOWER(TRIM(Raw_Data!D193))="e."),"East",IF(OR(LOWER(TRIM(Raw_Data!D193))="west",LOWER(TRIM(Raw_Data!D193))="w."),"West",IF(OR(LOWER(TRIM(Raw_Data!D193))="central",LOWER(TRIM(Raw_Data!D193))="c."),"Central","Unknown")))))</f>
        <v>Central</v>
      </c>
      <c r="E193" s="12" t="s">
        <v>40</v>
      </c>
      <c r="F193" s="12" t="s">
        <v>41</v>
      </c>
      <c r="G193" s="12" t="s">
        <v>42</v>
      </c>
      <c r="H193" s="12">
        <f>IFERROR(VALUE(Raw_Data!H193),0)</f>
        <v>8</v>
      </c>
      <c r="I193" s="49">
        <f>IFERROR(VALUE(Raw_Data!I193),0)</f>
        <v>450</v>
      </c>
      <c r="J193" s="12">
        <f>IFERROR(VALUE(Raw_Data!J193),0)</f>
        <v>0.05</v>
      </c>
      <c r="K193" s="12" t="s">
        <v>102</v>
      </c>
      <c r="L193" s="12" t="str">
        <f>IF(COUNTIF($A$2:A193, A193)&gt;1, "Duplicate", "Valid")</f>
        <v>Valid</v>
      </c>
      <c r="M193" s="50">
        <f t="shared" si="4"/>
        <v>3420</v>
      </c>
      <c r="N193" t="str">
        <f>IF(COUNTIF($A$2:A193, A193)&gt;1, "Duplicate", IF(OR(B193="NA", ISERROR(B193), ISTEXT(B193)), "Invalid Date", IF(OR(C193=0, E193=0, H193=0, I193=0, J193=0), "Missing Data", "OK")))</f>
        <v>OK</v>
      </c>
      <c r="O193" t="str">
        <f>IFERROR(INDEX(Reps!$B:$B, MATCH(K193, Reps!$A:$A, 0)), "Not Found")</f>
        <v>Anita Sharma</v>
      </c>
      <c r="P193" t="str">
        <f t="shared" si="5"/>
        <v>November</v>
      </c>
    </row>
    <row r="194" spans="1:16" x14ac:dyDescent="0.25">
      <c r="A194" t="s">
        <v>431</v>
      </c>
      <c r="B194" s="10">
        <f>IFERROR(IFERROR(INT(VALUE(Raw_Data!B194)), DATE(RIGHT(TRIM(Raw_Data!B194),4), MID(TRIM(Raw_Data!B194),4,2), LEFT(TRIM(Raw_Data!B194),2))), "NA")</f>
        <v>46080</v>
      </c>
      <c r="C194" s="12" t="s">
        <v>433</v>
      </c>
      <c r="D194" s="12" t="str">
        <f>IF(OR(LOWER(TRIM(Raw_Data!D194))="north",LOWER(TRIM(Raw_Data!D194))="n.",LOWER(SUBSTITUTE(TRIM(Raw_Data!D194)," ",""))="north"),"North",IF(OR(LOWER(TRIM(Raw_Data!D194))="south",LOWER(TRIM(Raw_Data!D194))="s."),"South",IF(OR(LOWER(TRIM(Raw_Data!D194))="east",LOWER(TRIM(Raw_Data!D194))="e."),"East",IF(OR(LOWER(TRIM(Raw_Data!D194))="west",LOWER(TRIM(Raw_Data!D194))="w."),"West",IF(OR(LOWER(TRIM(Raw_Data!D194))="central",LOWER(TRIM(Raw_Data!D194))="c."),"Central","Unknown")))))</f>
        <v>North</v>
      </c>
      <c r="E194" s="12" t="s">
        <v>127</v>
      </c>
      <c r="F194" s="12" t="s">
        <v>128</v>
      </c>
      <c r="G194" s="12" t="s">
        <v>57</v>
      </c>
      <c r="H194" s="12">
        <f>IFERROR(VALUE(Raw_Data!H194),0)</f>
        <v>12</v>
      </c>
      <c r="I194" s="49">
        <f>IFERROR(VALUE(Raw_Data!I194),0)</f>
        <v>4500</v>
      </c>
      <c r="J194" s="12">
        <f>IFERROR(VALUE(Raw_Data!J194),0)</f>
        <v>0</v>
      </c>
      <c r="K194" s="12" t="s">
        <v>102</v>
      </c>
      <c r="L194" s="12" t="str">
        <f>IF(COUNTIF($A$2:A194, A194)&gt;1, "Duplicate", "Valid")</f>
        <v>Valid</v>
      </c>
      <c r="M194" s="50">
        <f t="shared" ref="M194:M236" si="6">H194*I194*(1-J194)</f>
        <v>54000</v>
      </c>
      <c r="N194" t="str">
        <f>IF(COUNTIF($A$2:A194, A194)&gt;1, "Duplicate", IF(OR(B194="NA", ISERROR(B194), ISTEXT(B194)), "Invalid Date", IF(OR(C194=0, E194=0, H194=0, I194=0, J194=0), "Missing Data", "OK")))</f>
        <v>Missing Data</v>
      </c>
      <c r="O194" t="str">
        <f>IFERROR(INDEX(Reps!$B:$B, MATCH(K194, Reps!$A:$A, 0)), "Not Found")</f>
        <v>Anita Sharma</v>
      </c>
      <c r="P194" t="str">
        <f t="shared" ref="P194:P236" si="7">IFERROR(TEXT(B194, "mmmm"),"")</f>
        <v>February</v>
      </c>
    </row>
    <row r="195" spans="1:16" x14ac:dyDescent="0.25">
      <c r="A195" t="s">
        <v>434</v>
      </c>
      <c r="B195" s="10">
        <f>IFERROR(IFERROR(INT(VALUE(Raw_Data!B195)), DATE(RIGHT(TRIM(Raw_Data!B195),4), MID(TRIM(Raw_Data!B195),4,2), LEFT(TRIM(Raw_Data!B195),2))), "NA")</f>
        <v>46075</v>
      </c>
      <c r="C195" s="12" t="s">
        <v>88</v>
      </c>
      <c r="D195" s="12" t="str">
        <f>IF(OR(LOWER(TRIM(Raw_Data!D195))="north",LOWER(TRIM(Raw_Data!D195))="n.",LOWER(SUBSTITUTE(TRIM(Raw_Data!D195)," ",""))="north"),"North",IF(OR(LOWER(TRIM(Raw_Data!D195))="south",LOWER(TRIM(Raw_Data!D195))="s."),"South",IF(OR(LOWER(TRIM(Raw_Data!D195))="east",LOWER(TRIM(Raw_Data!D195))="e."),"East",IF(OR(LOWER(TRIM(Raw_Data!D195))="west",LOWER(TRIM(Raw_Data!D195))="w."),"West",IF(OR(LOWER(TRIM(Raw_Data!D195))="central",LOWER(TRIM(Raw_Data!D195))="c."),"Central","Unknown")))))</f>
        <v>Central</v>
      </c>
      <c r="E195" s="12" t="s">
        <v>77</v>
      </c>
      <c r="F195" s="12" t="s">
        <v>78</v>
      </c>
      <c r="G195" s="12" t="s">
        <v>57</v>
      </c>
      <c r="H195" s="12">
        <f>IFERROR(VALUE(Raw_Data!H195),0)</f>
        <v>12</v>
      </c>
      <c r="I195" s="49">
        <f>IFERROR(VALUE(Raw_Data!I195),0)</f>
        <v>3500</v>
      </c>
      <c r="J195" s="12">
        <f>IFERROR(VALUE(Raw_Data!J195),0)</f>
        <v>0.25</v>
      </c>
      <c r="K195" s="12" t="s">
        <v>51</v>
      </c>
      <c r="L195" s="12" t="str">
        <f>IF(COUNTIF($A$2:A195, A195)&gt;1, "Duplicate", "Valid")</f>
        <v>Valid</v>
      </c>
      <c r="M195" s="50">
        <f t="shared" si="6"/>
        <v>31500</v>
      </c>
      <c r="N195" t="str">
        <f>IF(COUNTIF($A$2:A195, A195)&gt;1, "Duplicate", IF(OR(B195="NA", ISERROR(B195), ISTEXT(B195)), "Invalid Date", IF(OR(C195=0, E195=0, H195=0, I195=0, J195=0), "Missing Data", "OK")))</f>
        <v>OK</v>
      </c>
      <c r="O195" t="str">
        <f>IFERROR(INDEX(Reps!$B:$B, MATCH(K195, Reps!$A:$A, 0)), "Not Found")</f>
        <v>Priya Iyer</v>
      </c>
      <c r="P195" t="str">
        <f t="shared" si="7"/>
        <v>February</v>
      </c>
    </row>
    <row r="196" spans="1:16" x14ac:dyDescent="0.25">
      <c r="A196" t="s">
        <v>436</v>
      </c>
      <c r="B196" s="10">
        <f>IFERROR(IFERROR(INT(VALUE(Raw_Data!B196)), DATE(RIGHT(TRIM(Raw_Data!B196),4), MID(TRIM(Raw_Data!B196),4,2), LEFT(TRIM(Raw_Data!B196),2))), "NA")</f>
        <v>45994</v>
      </c>
      <c r="C196" s="12" t="s">
        <v>214</v>
      </c>
      <c r="D196" s="12" t="str">
        <f>IF(OR(LOWER(TRIM(Raw_Data!D196))="north",LOWER(TRIM(Raw_Data!D196))="n.",LOWER(SUBSTITUTE(TRIM(Raw_Data!D196)," ",""))="north"),"North",IF(OR(LOWER(TRIM(Raw_Data!D196))="south",LOWER(TRIM(Raw_Data!D196))="s."),"South",IF(OR(LOWER(TRIM(Raw_Data!D196))="east",LOWER(TRIM(Raw_Data!D196))="e."),"East",IF(OR(LOWER(TRIM(Raw_Data!D196))="west",LOWER(TRIM(Raw_Data!D196))="w."),"West",IF(OR(LOWER(TRIM(Raw_Data!D196))="central",LOWER(TRIM(Raw_Data!D196))="c."),"Central","Unknown")))))</f>
        <v>East</v>
      </c>
      <c r="E196" s="12" t="s">
        <v>40</v>
      </c>
      <c r="F196" s="12" t="s">
        <v>41</v>
      </c>
      <c r="G196" s="12" t="s">
        <v>42</v>
      </c>
      <c r="H196" s="12">
        <f>IFERROR(VALUE(Raw_Data!H196),0)</f>
        <v>9</v>
      </c>
      <c r="I196" s="49">
        <f>IFERROR(VALUE(Raw_Data!I196),0)</f>
        <v>450</v>
      </c>
      <c r="J196" s="12">
        <f>IFERROR(VALUE(Raw_Data!J196),0)</f>
        <v>0</v>
      </c>
      <c r="K196" s="12" t="s">
        <v>79</v>
      </c>
      <c r="L196" s="12" t="str">
        <f>IF(COUNTIF($A$2:A196, A196)&gt;1, "Duplicate", "Valid")</f>
        <v>Valid</v>
      </c>
      <c r="M196" s="50">
        <f t="shared" si="6"/>
        <v>4050</v>
      </c>
      <c r="N196" t="str">
        <f>IF(COUNTIF($A$2:A196, A196)&gt;1, "Duplicate", IF(OR(B196="NA", ISERROR(B196), ISTEXT(B196)), "Invalid Date", IF(OR(C196=0, E196=0, H196=0, I196=0, J196=0), "Missing Data", "OK")))</f>
        <v>Missing Data</v>
      </c>
      <c r="O196" t="str">
        <f>IFERROR(INDEX(Reps!$B:$B, MATCH(K196, Reps!$A:$A, 0)), "Not Found")</f>
        <v>Sneha Reddy</v>
      </c>
      <c r="P196" t="str">
        <f t="shared" si="7"/>
        <v>December</v>
      </c>
    </row>
    <row r="197" spans="1:16" x14ac:dyDescent="0.25">
      <c r="A197" t="s">
        <v>438</v>
      </c>
      <c r="B197" s="10">
        <f>IFERROR(IFERROR(INT(VALUE(Raw_Data!B197)), DATE(RIGHT(TRIM(Raw_Data!B197),4), MID(TRIM(Raw_Data!B197),4,2), LEFT(TRIM(Raw_Data!B197),2))), "NA")</f>
        <v>45988</v>
      </c>
      <c r="C197" s="12" t="s">
        <v>235</v>
      </c>
      <c r="D197" s="12" t="str">
        <f>IF(OR(LOWER(TRIM(Raw_Data!D197))="north",LOWER(TRIM(Raw_Data!D197))="n.",LOWER(SUBSTITUTE(TRIM(Raw_Data!D197)," ",""))="north"),"North",IF(OR(LOWER(TRIM(Raw_Data!D197))="south",LOWER(TRIM(Raw_Data!D197))="s."),"South",IF(OR(LOWER(TRIM(Raw_Data!D197))="east",LOWER(TRIM(Raw_Data!D197))="e."),"East",IF(OR(LOWER(TRIM(Raw_Data!D197))="west",LOWER(TRIM(Raw_Data!D197))="w."),"West",IF(OR(LOWER(TRIM(Raw_Data!D197))="central",LOWER(TRIM(Raw_Data!D197))="c."),"Central","Unknown")))))</f>
        <v>North</v>
      </c>
      <c r="E197" s="12" t="s">
        <v>48</v>
      </c>
      <c r="F197" s="12" t="s">
        <v>49</v>
      </c>
      <c r="G197" s="12" t="s">
        <v>50</v>
      </c>
      <c r="H197" s="12">
        <f>IFERROR(VALUE(Raw_Data!H197),0)</f>
        <v>5</v>
      </c>
      <c r="I197" s="49">
        <f>IFERROR(VALUE(Raw_Data!I197),0)</f>
        <v>12000</v>
      </c>
      <c r="J197" s="12">
        <f>IFERROR(VALUE(Raw_Data!J197),0)</f>
        <v>0.05</v>
      </c>
      <c r="K197" s="12" t="s">
        <v>74</v>
      </c>
      <c r="L197" s="12" t="str">
        <f>IF(COUNTIF($A$2:A197, A197)&gt;1, "Duplicate", "Valid")</f>
        <v>Valid</v>
      </c>
      <c r="M197" s="50">
        <f t="shared" si="6"/>
        <v>57000</v>
      </c>
      <c r="N197" t="str">
        <f>IF(COUNTIF($A$2:A197, A197)&gt;1, "Duplicate", IF(OR(B197="NA", ISERROR(B197), ISTEXT(B197)), "Invalid Date", IF(OR(C197=0, E197=0, H197=0, I197=0, J197=0), "Missing Data", "OK")))</f>
        <v>OK</v>
      </c>
      <c r="O197" t="str">
        <f>IFERROR(INDEX(Reps!$B:$B, MATCH(K197, Reps!$A:$A, 0)), "Not Found")</f>
        <v>Rahul Verma</v>
      </c>
      <c r="P197" t="str">
        <f t="shared" si="7"/>
        <v>November</v>
      </c>
    </row>
    <row r="198" spans="1:16" x14ac:dyDescent="0.25">
      <c r="A198" t="s">
        <v>439</v>
      </c>
      <c r="B198" s="10">
        <f>IFERROR(IFERROR(INT(VALUE(Raw_Data!B198)), DATE(RIGHT(TRIM(Raw_Data!B198),4), MID(TRIM(Raw_Data!B198),4,2), LEFT(TRIM(Raw_Data!B198),2))), "NA")</f>
        <v>46066</v>
      </c>
      <c r="C198" s="12" t="s">
        <v>93</v>
      </c>
      <c r="D198" s="12" t="str">
        <f>IF(OR(LOWER(TRIM(Raw_Data!D198))="north",LOWER(TRIM(Raw_Data!D198))="n.",LOWER(SUBSTITUTE(TRIM(Raw_Data!D198)," ",""))="north"),"North",IF(OR(LOWER(TRIM(Raw_Data!D198))="south",LOWER(TRIM(Raw_Data!D198))="s."),"South",IF(OR(LOWER(TRIM(Raw_Data!D198))="east",LOWER(TRIM(Raw_Data!D198))="e."),"East",IF(OR(LOWER(TRIM(Raw_Data!D198))="west",LOWER(TRIM(Raw_Data!D198))="w."),"West",IF(OR(LOWER(TRIM(Raw_Data!D198))="central",LOWER(TRIM(Raw_Data!D198))="c."),"Central","Unknown")))))</f>
        <v>North</v>
      </c>
      <c r="E198" s="12" t="s">
        <v>40</v>
      </c>
      <c r="F198" s="12" t="s">
        <v>41</v>
      </c>
      <c r="G198" s="12" t="s">
        <v>42</v>
      </c>
      <c r="H198" s="12">
        <f>IFERROR(VALUE(Raw_Data!H198),0)</f>
        <v>2</v>
      </c>
      <c r="I198" s="49">
        <f>IFERROR(VALUE(Raw_Data!I198),0)</f>
        <v>450</v>
      </c>
      <c r="J198" s="12">
        <f>IFERROR(VALUE(Raw_Data!J198),0)</f>
        <v>0.15</v>
      </c>
      <c r="K198" s="12" t="s">
        <v>70</v>
      </c>
      <c r="L198" s="12" t="str">
        <f>IF(COUNTIF($A$2:A198, A198)&gt;1, "Duplicate", "Valid")</f>
        <v>Valid</v>
      </c>
      <c r="M198" s="50">
        <f t="shared" si="6"/>
        <v>765</v>
      </c>
      <c r="N198" t="str">
        <f>IF(COUNTIF($A$2:A198, A198)&gt;1, "Duplicate", IF(OR(B198="NA", ISERROR(B198), ISTEXT(B198)), "Invalid Date", IF(OR(C198=0, E198=0, H198=0, I198=0, J198=0), "Missing Data", "OK")))</f>
        <v>OK</v>
      </c>
      <c r="O198" t="str">
        <f>IFERROR(INDEX(Reps!$B:$B, MATCH(K198, Reps!$A:$A, 0)), "Not Found")</f>
        <v>Vikram Nair</v>
      </c>
      <c r="P198" t="str">
        <f t="shared" si="7"/>
        <v>February</v>
      </c>
    </row>
    <row r="199" spans="1:16" x14ac:dyDescent="0.25">
      <c r="A199" t="s">
        <v>440</v>
      </c>
      <c r="B199" s="10">
        <f>IFERROR(IFERROR(INT(VALUE(Raw_Data!B199)), DATE(RIGHT(TRIM(Raw_Data!B199),4), MID(TRIM(Raw_Data!B199),4,2), LEFT(TRIM(Raw_Data!B199),2))), "NA")</f>
        <v>46130</v>
      </c>
      <c r="C199" s="12" t="s">
        <v>131</v>
      </c>
      <c r="D199" s="12" t="str">
        <f>IF(OR(LOWER(TRIM(Raw_Data!D199))="north",LOWER(TRIM(Raw_Data!D199))="n.",LOWER(SUBSTITUTE(TRIM(Raw_Data!D199)," ",""))="north"),"North",IF(OR(LOWER(TRIM(Raw_Data!D199))="south",LOWER(TRIM(Raw_Data!D199))="s."),"South",IF(OR(LOWER(TRIM(Raw_Data!D199))="east",LOWER(TRIM(Raw_Data!D199))="e."),"East",IF(OR(LOWER(TRIM(Raw_Data!D199))="west",LOWER(TRIM(Raw_Data!D199))="w."),"West",IF(OR(LOWER(TRIM(Raw_Data!D199))="central",LOWER(TRIM(Raw_Data!D199))="c."),"Central","Unknown")))))</f>
        <v>South</v>
      </c>
      <c r="E199" s="12" t="s">
        <v>120</v>
      </c>
      <c r="F199" s="12" t="s">
        <v>121</v>
      </c>
      <c r="G199" s="12" t="s">
        <v>42</v>
      </c>
      <c r="H199" s="12">
        <f>IFERROR(VALUE(Raw_Data!H199),0)</f>
        <v>9</v>
      </c>
      <c r="I199" s="49">
        <f>IFERROR(VALUE(Raw_Data!I199),0)</f>
        <v>250</v>
      </c>
      <c r="J199" s="12">
        <f>IFERROR(VALUE(Raw_Data!J199),0)</f>
        <v>0</v>
      </c>
      <c r="K199" s="12" t="s">
        <v>79</v>
      </c>
      <c r="L199" s="12" t="str">
        <f>IF(COUNTIF($A$2:A199, A199)&gt;1, "Duplicate", "Valid")</f>
        <v>Valid</v>
      </c>
      <c r="M199" s="50">
        <f t="shared" si="6"/>
        <v>2250</v>
      </c>
      <c r="N199" t="str">
        <f>IF(COUNTIF($A$2:A199, A199)&gt;1, "Duplicate", IF(OR(B199="NA", ISERROR(B199), ISTEXT(B199)), "Invalid Date", IF(OR(C199=0, E199=0, H199=0, I199=0, J199=0), "Missing Data", "OK")))</f>
        <v>Missing Data</v>
      </c>
      <c r="O199" t="str">
        <f>IFERROR(INDEX(Reps!$B:$B, MATCH(K199, Reps!$A:$A, 0)), "Not Found")</f>
        <v>Sneha Reddy</v>
      </c>
      <c r="P199" t="str">
        <f t="shared" si="7"/>
        <v>April</v>
      </c>
    </row>
    <row r="200" spans="1:16" x14ac:dyDescent="0.25">
      <c r="A200" t="s">
        <v>441</v>
      </c>
      <c r="B200" s="10">
        <f>IFERROR(IFERROR(INT(VALUE(Raw_Data!B200)), DATE(RIGHT(TRIM(Raw_Data!B200),4), MID(TRIM(Raw_Data!B200),4,2), LEFT(TRIM(Raw_Data!B200),2))), "NA")</f>
        <v>46034</v>
      </c>
      <c r="C200" s="12" t="s">
        <v>134</v>
      </c>
      <c r="D200" s="12" t="str">
        <f>IF(OR(LOWER(TRIM(Raw_Data!D200))="north",LOWER(TRIM(Raw_Data!D200))="n.",LOWER(SUBSTITUTE(TRIM(Raw_Data!D200)," ",""))="north"),"North",IF(OR(LOWER(TRIM(Raw_Data!D200))="south",LOWER(TRIM(Raw_Data!D200))="s."),"South",IF(OR(LOWER(TRIM(Raw_Data!D200))="east",LOWER(TRIM(Raw_Data!D200))="e."),"East",IF(OR(LOWER(TRIM(Raw_Data!D200))="west",LOWER(TRIM(Raw_Data!D200))="w."),"West",IF(OR(LOWER(TRIM(Raw_Data!D200))="central",LOWER(TRIM(Raw_Data!D200))="c."),"Central","Unknown")))))</f>
        <v>East</v>
      </c>
      <c r="E200" s="12" t="s">
        <v>98</v>
      </c>
      <c r="F200" s="12" t="s">
        <v>99</v>
      </c>
      <c r="G200" s="12" t="s">
        <v>50</v>
      </c>
      <c r="H200" s="12">
        <f>IFERROR(VALUE(Raw_Data!H200),0)</f>
        <v>6</v>
      </c>
      <c r="I200" s="49">
        <f>IFERROR(VALUE(Raw_Data!I200),0)</f>
        <v>0</v>
      </c>
      <c r="J200" s="12">
        <f>IFERROR(VALUE(Raw_Data!J200),0)</f>
        <v>0.15</v>
      </c>
      <c r="K200" s="12" t="s">
        <v>102</v>
      </c>
      <c r="L200" s="12" t="str">
        <f>IF(COUNTIF($A$2:A200, A200)&gt;1, "Duplicate", "Valid")</f>
        <v>Valid</v>
      </c>
      <c r="M200" s="50">
        <f t="shared" si="6"/>
        <v>0</v>
      </c>
      <c r="N200" t="str">
        <f>IF(COUNTIF($A$2:A200, A200)&gt;1, "Duplicate", IF(OR(B200="NA", ISERROR(B200), ISTEXT(B200)), "Invalid Date", IF(OR(C200=0, E200=0, H200=0, I200=0, J200=0), "Missing Data", "OK")))</f>
        <v>Missing Data</v>
      </c>
      <c r="O200" t="str">
        <f>IFERROR(INDEX(Reps!$B:$B, MATCH(K200, Reps!$A:$A, 0)), "Not Found")</f>
        <v>Anita Sharma</v>
      </c>
      <c r="P200" t="str">
        <f t="shared" si="7"/>
        <v>January</v>
      </c>
    </row>
    <row r="201" spans="1:16" x14ac:dyDescent="0.25">
      <c r="A201" t="s">
        <v>443</v>
      </c>
      <c r="B201" s="10">
        <f>IFERROR(IFERROR(INT(VALUE(Raw_Data!B201)), DATE(RIGHT(TRIM(Raw_Data!B201),4), MID(TRIM(Raw_Data!B201),4,2), LEFT(TRIM(Raw_Data!B201),2))), "NA")</f>
        <v>46138</v>
      </c>
      <c r="C201" s="12" t="s">
        <v>235</v>
      </c>
      <c r="D201" s="12" t="str">
        <f>IF(OR(LOWER(TRIM(Raw_Data!D201))="north",LOWER(TRIM(Raw_Data!D201))="n.",LOWER(SUBSTITUTE(TRIM(Raw_Data!D201)," ",""))="north"),"North",IF(OR(LOWER(TRIM(Raw_Data!D201))="south",LOWER(TRIM(Raw_Data!D201))="s."),"South",IF(OR(LOWER(TRIM(Raw_Data!D201))="east",LOWER(TRIM(Raw_Data!D201))="e."),"East",IF(OR(LOWER(TRIM(Raw_Data!D201))="west",LOWER(TRIM(Raw_Data!D201))="w."),"West",IF(OR(LOWER(TRIM(Raw_Data!D201))="central",LOWER(TRIM(Raw_Data!D201))="c."),"Central","Unknown")))))</f>
        <v>North</v>
      </c>
      <c r="E201" s="12" t="s">
        <v>98</v>
      </c>
      <c r="F201" s="12" t="s">
        <v>99</v>
      </c>
      <c r="G201" s="12" t="s">
        <v>50</v>
      </c>
      <c r="H201" s="12">
        <f>IFERROR(VALUE(Raw_Data!H201),0)</f>
        <v>5</v>
      </c>
      <c r="I201" s="49">
        <f>IFERROR(VALUE(Raw_Data!I201),0)</f>
        <v>28000</v>
      </c>
      <c r="J201" s="12">
        <f>IFERROR(VALUE(Raw_Data!J201),0)</f>
        <v>0.1</v>
      </c>
      <c r="K201" s="12" t="s">
        <v>51</v>
      </c>
      <c r="L201" s="12" t="str">
        <f>IF(COUNTIF($A$2:A201, A201)&gt;1, "Duplicate", "Valid")</f>
        <v>Valid</v>
      </c>
      <c r="M201" s="50">
        <f t="shared" si="6"/>
        <v>126000</v>
      </c>
      <c r="N201" t="str">
        <f>IF(COUNTIF($A$2:A201, A201)&gt;1, "Duplicate", IF(OR(B201="NA", ISERROR(B201), ISTEXT(B201)), "Invalid Date", IF(OR(C201=0, E201=0, H201=0, I201=0, J201=0), "Missing Data", "OK")))</f>
        <v>OK</v>
      </c>
      <c r="O201" t="str">
        <f>IFERROR(INDEX(Reps!$B:$B, MATCH(K201, Reps!$A:$A, 0)), "Not Found")</f>
        <v>Priya Iyer</v>
      </c>
      <c r="P201" t="str">
        <f t="shared" si="7"/>
        <v>April</v>
      </c>
    </row>
    <row r="202" spans="1:16" x14ac:dyDescent="0.25">
      <c r="A202" t="s">
        <v>444</v>
      </c>
      <c r="B202" s="10">
        <f>IFERROR(IFERROR(INT(VALUE(Raw_Data!B202)), DATE(RIGHT(TRIM(Raw_Data!B202),4), MID(TRIM(Raw_Data!B202),4,2), LEFT(TRIM(Raw_Data!B202),2))), "NA")</f>
        <v>46055</v>
      </c>
      <c r="C202" s="12" t="s">
        <v>214</v>
      </c>
      <c r="D202" s="12" t="str">
        <f>IF(OR(LOWER(TRIM(Raw_Data!D202))="north",LOWER(TRIM(Raw_Data!D202))="n.",LOWER(SUBSTITUTE(TRIM(Raw_Data!D202)," ",""))="north"),"North",IF(OR(LOWER(TRIM(Raw_Data!D202))="south",LOWER(TRIM(Raw_Data!D202))="s."),"South",IF(OR(LOWER(TRIM(Raw_Data!D202))="east",LOWER(TRIM(Raw_Data!D202))="e."),"East",IF(OR(LOWER(TRIM(Raw_Data!D202))="west",LOWER(TRIM(Raw_Data!D202))="w."),"West",IF(OR(LOWER(TRIM(Raw_Data!D202))="central",LOWER(TRIM(Raw_Data!D202))="c."),"Central","Unknown")))))</f>
        <v>North</v>
      </c>
      <c r="E202" s="12" t="s">
        <v>120</v>
      </c>
      <c r="F202" s="12" t="s">
        <v>121</v>
      </c>
      <c r="G202" s="12" t="s">
        <v>42</v>
      </c>
      <c r="H202" s="12">
        <f>IFERROR(VALUE(Raw_Data!H202),0)</f>
        <v>9</v>
      </c>
      <c r="I202" s="49">
        <f>IFERROR(VALUE(Raw_Data!I202),0)</f>
        <v>250</v>
      </c>
      <c r="J202" s="12">
        <f>IFERROR(VALUE(Raw_Data!J202),0)</f>
        <v>0.15</v>
      </c>
      <c r="K202" s="12" t="s">
        <v>79</v>
      </c>
      <c r="L202" s="12" t="str">
        <f>IF(COUNTIF($A$2:A202, A202)&gt;1, "Duplicate", "Valid")</f>
        <v>Valid</v>
      </c>
      <c r="M202" s="50">
        <f t="shared" si="6"/>
        <v>1912.5</v>
      </c>
      <c r="N202" t="str">
        <f>IF(COUNTIF($A$2:A202, A202)&gt;1, "Duplicate", IF(OR(B202="NA", ISERROR(B202), ISTEXT(B202)), "Invalid Date", IF(OR(C202=0, E202=0, H202=0, I202=0, J202=0), "Missing Data", "OK")))</f>
        <v>OK</v>
      </c>
      <c r="O202" t="str">
        <f>IFERROR(INDEX(Reps!$B:$B, MATCH(K202, Reps!$A:$A, 0)), "Not Found")</f>
        <v>Sneha Reddy</v>
      </c>
      <c r="P202" t="str">
        <f t="shared" si="7"/>
        <v>February</v>
      </c>
    </row>
    <row r="203" spans="1:16" x14ac:dyDescent="0.25">
      <c r="A203" t="s">
        <v>446</v>
      </c>
      <c r="B203" s="10">
        <f>IFERROR(IFERROR(INT(VALUE(Raw_Data!B203)), DATE(RIGHT(TRIM(Raw_Data!B203),4), MID(TRIM(Raw_Data!B203),4,2), LEFT(TRIM(Raw_Data!B203),2))), "NA")</f>
        <v>46008</v>
      </c>
      <c r="C203" s="12" t="s">
        <v>189</v>
      </c>
      <c r="D203" s="12" t="str">
        <f>IF(OR(LOWER(TRIM(Raw_Data!D203))="north",LOWER(TRIM(Raw_Data!D203))="n.",LOWER(SUBSTITUTE(TRIM(Raw_Data!D203)," ",""))="north"),"North",IF(OR(LOWER(TRIM(Raw_Data!D203))="south",LOWER(TRIM(Raw_Data!D203))="s."),"South",IF(OR(LOWER(TRIM(Raw_Data!D203))="east",LOWER(TRIM(Raw_Data!D203))="e."),"East",IF(OR(LOWER(TRIM(Raw_Data!D203))="west",LOWER(TRIM(Raw_Data!D203))="w."),"West",IF(OR(LOWER(TRIM(Raw_Data!D203))="central",LOWER(TRIM(Raw_Data!D203))="c."),"Central","Unknown")))))</f>
        <v>East</v>
      </c>
      <c r="E203" s="12" t="s">
        <v>40</v>
      </c>
      <c r="F203" s="12" t="s">
        <v>41</v>
      </c>
      <c r="G203" s="12" t="s">
        <v>42</v>
      </c>
      <c r="H203" s="12">
        <f>IFERROR(VALUE(Raw_Data!H203),0)</f>
        <v>4</v>
      </c>
      <c r="I203" s="49">
        <f>IFERROR(VALUE(Raw_Data!I203),0)</f>
        <v>450</v>
      </c>
      <c r="J203" s="12">
        <f>IFERROR(VALUE(Raw_Data!J203),0)</f>
        <v>0.15</v>
      </c>
      <c r="K203" s="12" t="s">
        <v>43</v>
      </c>
      <c r="L203" s="12" t="str">
        <f>IF(COUNTIF($A$2:A203, A203)&gt;1, "Duplicate", "Valid")</f>
        <v>Valid</v>
      </c>
      <c r="M203" s="50">
        <f t="shared" si="6"/>
        <v>1530</v>
      </c>
      <c r="N203" t="str">
        <f>IF(COUNTIF($A$2:A203, A203)&gt;1, "Duplicate", IF(OR(B203="NA", ISERROR(B203), ISTEXT(B203)), "Invalid Date", IF(OR(C203=0, E203=0, H203=0, I203=0, J203=0), "Missing Data", "OK")))</f>
        <v>OK</v>
      </c>
      <c r="O203" t="str">
        <f>IFERROR(INDEX(Reps!$B:$B, MATCH(K203, Reps!$A:$A, 0)), "Not Found")</f>
        <v>Karan Mehta</v>
      </c>
      <c r="P203" t="str">
        <f t="shared" si="7"/>
        <v>December</v>
      </c>
    </row>
    <row r="204" spans="1:16" x14ac:dyDescent="0.25">
      <c r="A204" t="s">
        <v>448</v>
      </c>
      <c r="B204" s="10">
        <f>IFERROR(IFERROR(INT(VALUE(Raw_Data!B204)), DATE(RIGHT(TRIM(Raw_Data!B204),4), MID(TRIM(Raw_Data!B204),4,2), LEFT(TRIM(Raw_Data!B204),2))), "NA")</f>
        <v>46138</v>
      </c>
      <c r="C204" s="12" t="s">
        <v>156</v>
      </c>
      <c r="D204" s="12" t="str">
        <f>IF(OR(LOWER(TRIM(Raw_Data!D204))="north",LOWER(TRIM(Raw_Data!D204))="n.",LOWER(SUBSTITUTE(TRIM(Raw_Data!D204)," ",""))="north"),"North",IF(OR(LOWER(TRIM(Raw_Data!D204))="south",LOWER(TRIM(Raw_Data!D204))="s."),"South",IF(OR(LOWER(TRIM(Raw_Data!D204))="east",LOWER(TRIM(Raw_Data!D204))="e."),"East",IF(OR(LOWER(TRIM(Raw_Data!D204))="west",LOWER(TRIM(Raw_Data!D204))="w."),"West",IF(OR(LOWER(TRIM(Raw_Data!D204))="central",LOWER(TRIM(Raw_Data!D204))="c."),"Central","Unknown")))))</f>
        <v>West</v>
      </c>
      <c r="E204" s="12" t="s">
        <v>127</v>
      </c>
      <c r="F204" s="12" t="s">
        <v>128</v>
      </c>
      <c r="G204" s="12" t="s">
        <v>57</v>
      </c>
      <c r="H204" s="12">
        <f>IFERROR(VALUE(Raw_Data!H204),0)</f>
        <v>4</v>
      </c>
      <c r="I204" s="49">
        <f>IFERROR(VALUE(Raw_Data!I204),0)</f>
        <v>4500</v>
      </c>
      <c r="J204" s="12">
        <f>IFERROR(VALUE(Raw_Data!J204),0)</f>
        <v>0</v>
      </c>
      <c r="K204" s="12" t="s">
        <v>51</v>
      </c>
      <c r="L204" s="12" t="str">
        <f>IF(COUNTIF($A$2:A204, A204)&gt;1, "Duplicate", "Valid")</f>
        <v>Valid</v>
      </c>
      <c r="M204" s="50">
        <f t="shared" si="6"/>
        <v>18000</v>
      </c>
      <c r="N204" t="str">
        <f>IF(COUNTIF($A$2:A204, A204)&gt;1, "Duplicate", IF(OR(B204="NA", ISERROR(B204), ISTEXT(B204)), "Invalid Date", IF(OR(C204=0, E204=0, H204=0, I204=0, J204=0), "Missing Data", "OK")))</f>
        <v>Missing Data</v>
      </c>
      <c r="O204" t="str">
        <f>IFERROR(INDEX(Reps!$B:$B, MATCH(K204, Reps!$A:$A, 0)), "Not Found")</f>
        <v>Priya Iyer</v>
      </c>
      <c r="P204" t="str">
        <f t="shared" si="7"/>
        <v>April</v>
      </c>
    </row>
    <row r="205" spans="1:16" x14ac:dyDescent="0.25">
      <c r="A205" t="s">
        <v>52</v>
      </c>
      <c r="B205" s="10">
        <f>IFERROR(IFERROR(INT(VALUE(Raw_Data!B205)), DATE(RIGHT(TRIM(Raw_Data!B205),4), MID(TRIM(Raw_Data!B205),4,2), LEFT(TRIM(Raw_Data!B205),2))), "NA")</f>
        <v>46128</v>
      </c>
      <c r="C205" s="12" t="s">
        <v>53</v>
      </c>
      <c r="D205" s="12" t="str">
        <f>IF(OR(LOWER(TRIM(Raw_Data!D205))="north",LOWER(TRIM(Raw_Data!D205))="n.",LOWER(SUBSTITUTE(TRIM(Raw_Data!D205)," ",""))="north"),"North",IF(OR(LOWER(TRIM(Raw_Data!D205))="south",LOWER(TRIM(Raw_Data!D205))="s."),"South",IF(OR(LOWER(TRIM(Raw_Data!D205))="east",LOWER(TRIM(Raw_Data!D205))="e."),"East",IF(OR(LOWER(TRIM(Raw_Data!D205))="west",LOWER(TRIM(Raw_Data!D205))="w."),"West",IF(OR(LOWER(TRIM(Raw_Data!D205))="central",LOWER(TRIM(Raw_Data!D205))="c."),"Central","Unknown")))))</f>
        <v>North</v>
      </c>
      <c r="E205" s="12" t="s">
        <v>55</v>
      </c>
      <c r="F205" s="12" t="s">
        <v>56</v>
      </c>
      <c r="G205" s="12" t="s">
        <v>57</v>
      </c>
      <c r="H205" s="12">
        <f>IFERROR(VALUE(Raw_Data!H205),0)</f>
        <v>12</v>
      </c>
      <c r="I205" s="49">
        <f>IFERROR(VALUE(Raw_Data!I205),0)</f>
        <v>65000</v>
      </c>
      <c r="J205" s="12">
        <f>IFERROR(VALUE(Raw_Data!J205),0)</f>
        <v>0.05</v>
      </c>
      <c r="K205" s="12" t="s">
        <v>51</v>
      </c>
      <c r="L205" s="12" t="str">
        <f>IF(COUNTIF($A$2:A205, A205)&gt;1, "Duplicate", "Valid")</f>
        <v>Duplicate</v>
      </c>
      <c r="M205" s="50">
        <f t="shared" si="6"/>
        <v>741000</v>
      </c>
      <c r="N205" t="str">
        <f>IF(COUNTIF($A$2:A205, A205)&gt;1, "Duplicate", IF(OR(B205="NA", ISERROR(B205), ISTEXT(B205)), "Invalid Date", IF(OR(C205=0, E205=0, H205=0, I205=0, J205=0), "Missing Data", "OK")))</f>
        <v>Duplicate</v>
      </c>
      <c r="O205" t="str">
        <f>IFERROR(INDEX(Reps!$B:$B, MATCH(K205, Reps!$A:$A, 0)), "Not Found")</f>
        <v>Priya Iyer</v>
      </c>
      <c r="P205" t="str">
        <f t="shared" si="7"/>
        <v>April</v>
      </c>
    </row>
    <row r="206" spans="1:16" x14ac:dyDescent="0.25">
      <c r="A206" t="s">
        <v>449</v>
      </c>
      <c r="B206" s="10">
        <f>IFERROR(IFERROR(INT(VALUE(Raw_Data!B206)), DATE(RIGHT(TRIM(Raw_Data!B206),4), MID(TRIM(Raw_Data!B206),4,2), LEFT(TRIM(Raw_Data!B206),2))), "NA")</f>
        <v>46634</v>
      </c>
      <c r="C206" s="12" t="s">
        <v>126</v>
      </c>
      <c r="D206" s="12" t="str">
        <f>IF(OR(LOWER(TRIM(Raw_Data!D206))="north",LOWER(TRIM(Raw_Data!D206))="n.",LOWER(SUBSTITUTE(TRIM(Raw_Data!D206)," ",""))="north"),"North",IF(OR(LOWER(TRIM(Raw_Data!D206))="south",LOWER(TRIM(Raw_Data!D206))="s."),"South",IF(OR(LOWER(TRIM(Raw_Data!D206))="east",LOWER(TRIM(Raw_Data!D206))="e."),"East",IF(OR(LOWER(TRIM(Raw_Data!D206))="west",LOWER(TRIM(Raw_Data!D206))="w."),"West",IF(OR(LOWER(TRIM(Raw_Data!D206))="central",LOWER(TRIM(Raw_Data!D206))="c."),"Central","Unknown")))))</f>
        <v>South</v>
      </c>
      <c r="E206" s="12" t="s">
        <v>127</v>
      </c>
      <c r="F206" s="12" t="s">
        <v>128</v>
      </c>
      <c r="G206" s="12" t="s">
        <v>57</v>
      </c>
      <c r="H206" s="12">
        <f>IFERROR(VALUE(Raw_Data!H206),0)</f>
        <v>7</v>
      </c>
      <c r="I206" s="49">
        <f>IFERROR(VALUE(Raw_Data!I206),0)</f>
        <v>4500</v>
      </c>
      <c r="J206" s="12">
        <f>IFERROR(VALUE(Raw_Data!J206),0)</f>
        <v>0</v>
      </c>
      <c r="K206" s="12" t="s">
        <v>43</v>
      </c>
      <c r="L206" s="12" t="str">
        <f>IF(COUNTIF($A$2:A206, A206)&gt;1, "Duplicate", "Valid")</f>
        <v>Valid</v>
      </c>
      <c r="M206" s="50">
        <f t="shared" si="6"/>
        <v>31500</v>
      </c>
      <c r="N206" t="str">
        <f>IF(COUNTIF($A$2:A206, A206)&gt;1, "Duplicate", IF(OR(B206="NA", ISERROR(B206), ISTEXT(B206)), "Invalid Date", IF(OR(C206=0, E206=0, H206=0, I206=0, J206=0), "Missing Data", "OK")))</f>
        <v>Missing Data</v>
      </c>
      <c r="O206" t="str">
        <f>IFERROR(INDEX(Reps!$B:$B, MATCH(K206, Reps!$A:$A, 0)), "Not Found")</f>
        <v>Karan Mehta</v>
      </c>
      <c r="P206" t="str">
        <f t="shared" si="7"/>
        <v>September</v>
      </c>
    </row>
    <row r="207" spans="1:16" x14ac:dyDescent="0.25">
      <c r="A207" t="s">
        <v>451</v>
      </c>
      <c r="B207" s="10">
        <f>IFERROR(IFERROR(INT(VALUE(Raw_Data!B207)), DATE(RIGHT(TRIM(Raw_Data!B207),4), MID(TRIM(Raw_Data!B207),4,2), LEFT(TRIM(Raw_Data!B207),2))), "NA")</f>
        <v>46299</v>
      </c>
      <c r="C207" s="12" t="s">
        <v>178</v>
      </c>
      <c r="D207" s="12" t="str">
        <f>IF(OR(LOWER(TRIM(Raw_Data!D207))="north",LOWER(TRIM(Raw_Data!D207))="n.",LOWER(SUBSTITUTE(TRIM(Raw_Data!D207)," ",""))="north"),"North",IF(OR(LOWER(TRIM(Raw_Data!D207))="south",LOWER(TRIM(Raw_Data!D207))="s."),"South",IF(OR(LOWER(TRIM(Raw_Data!D207))="east",LOWER(TRIM(Raw_Data!D207))="e."),"East",IF(OR(LOWER(TRIM(Raw_Data!D207))="west",LOWER(TRIM(Raw_Data!D207))="w."),"West",IF(OR(LOWER(TRIM(Raw_Data!D207))="central",LOWER(TRIM(Raw_Data!D207))="c."),"Central","Unknown")))))</f>
        <v>North</v>
      </c>
      <c r="E207" s="12" t="s">
        <v>135</v>
      </c>
      <c r="F207" s="12" t="s">
        <v>136</v>
      </c>
      <c r="G207" s="12" t="s">
        <v>50</v>
      </c>
      <c r="H207" s="12">
        <f>IFERROR(VALUE(Raw_Data!H207),0)</f>
        <v>4</v>
      </c>
      <c r="I207" s="49">
        <f>IFERROR(VALUE(Raw_Data!I207),0)</f>
        <v>9500</v>
      </c>
      <c r="J207" s="12">
        <f>IFERROR(VALUE(Raw_Data!J207),0)</f>
        <v>0.05</v>
      </c>
      <c r="K207" s="12" t="s">
        <v>102</v>
      </c>
      <c r="L207" s="12" t="str">
        <f>IF(COUNTIF($A$2:A207, A207)&gt;1, "Duplicate", "Valid")</f>
        <v>Valid</v>
      </c>
      <c r="M207" s="50">
        <f t="shared" si="6"/>
        <v>36100</v>
      </c>
      <c r="N207" t="str">
        <f>IF(COUNTIF($A$2:A207, A207)&gt;1, "Duplicate", IF(OR(B207="NA", ISERROR(B207), ISTEXT(B207)), "Invalid Date", IF(OR(C207=0, E207=0, H207=0, I207=0, J207=0), "Missing Data", "OK")))</f>
        <v>OK</v>
      </c>
      <c r="O207" t="str">
        <f>IFERROR(INDEX(Reps!$B:$B, MATCH(K207, Reps!$A:$A, 0)), "Not Found")</f>
        <v>Anita Sharma</v>
      </c>
      <c r="P207" t="str">
        <f t="shared" si="7"/>
        <v>October</v>
      </c>
    </row>
    <row r="208" spans="1:16" x14ac:dyDescent="0.25">
      <c r="A208" t="s">
        <v>452</v>
      </c>
      <c r="B208" s="10">
        <f>IFERROR(IFERROR(INT(VALUE(Raw_Data!B208)), DATE(RIGHT(TRIM(Raw_Data!B208),4), MID(TRIM(Raw_Data!B208),4,2), LEFT(TRIM(Raw_Data!B208),2))), "NA")</f>
        <v>45989</v>
      </c>
      <c r="C208" s="12" t="s">
        <v>151</v>
      </c>
      <c r="D208" s="12" t="str">
        <f>IF(OR(LOWER(TRIM(Raw_Data!D208))="north",LOWER(TRIM(Raw_Data!D208))="n.",LOWER(SUBSTITUTE(TRIM(Raw_Data!D208)," ",""))="north"),"North",IF(OR(LOWER(TRIM(Raw_Data!D208))="south",LOWER(TRIM(Raw_Data!D208))="s."),"South",IF(OR(LOWER(TRIM(Raw_Data!D208))="east",LOWER(TRIM(Raw_Data!D208))="e."),"East",IF(OR(LOWER(TRIM(Raw_Data!D208))="west",LOWER(TRIM(Raw_Data!D208))="w."),"West",IF(OR(LOWER(TRIM(Raw_Data!D208))="central",LOWER(TRIM(Raw_Data!D208))="c."),"Central","Unknown")))))</f>
        <v>Central</v>
      </c>
      <c r="E208" s="12" t="s">
        <v>111</v>
      </c>
      <c r="F208" s="12" t="s">
        <v>112</v>
      </c>
      <c r="G208" s="12" t="s">
        <v>57</v>
      </c>
      <c r="H208" s="12">
        <f>IFERROR(VALUE(Raw_Data!H208),0)</f>
        <v>7</v>
      </c>
      <c r="I208" s="49">
        <f>IFERROR(VALUE(Raw_Data!I208),0)</f>
        <v>18000</v>
      </c>
      <c r="J208" s="12">
        <f>IFERROR(VALUE(Raw_Data!J208),0)</f>
        <v>0.1</v>
      </c>
      <c r="K208" s="12" t="s">
        <v>102</v>
      </c>
      <c r="L208" s="12" t="str">
        <f>IF(COUNTIF($A$2:A208, A208)&gt;1, "Duplicate", "Valid")</f>
        <v>Valid</v>
      </c>
      <c r="M208" s="50">
        <f t="shared" si="6"/>
        <v>113400</v>
      </c>
      <c r="N208" t="str">
        <f>IF(COUNTIF($A$2:A208, A208)&gt;1, "Duplicate", IF(OR(B208="NA", ISERROR(B208), ISTEXT(B208)), "Invalid Date", IF(OR(C208=0, E208=0, H208=0, I208=0, J208=0), "Missing Data", "OK")))</f>
        <v>OK</v>
      </c>
      <c r="O208" t="str">
        <f>IFERROR(INDEX(Reps!$B:$B, MATCH(K208, Reps!$A:$A, 0)), "Not Found")</f>
        <v>Anita Sharma</v>
      </c>
      <c r="P208" t="str">
        <f t="shared" si="7"/>
        <v>November</v>
      </c>
    </row>
    <row r="209" spans="1:16" x14ac:dyDescent="0.25">
      <c r="A209" t="s">
        <v>454</v>
      </c>
      <c r="B209" s="10">
        <f>IFERROR(IFERROR(INT(VALUE(Raw_Data!B209)), DATE(RIGHT(TRIM(Raw_Data!B209),4), MID(TRIM(Raw_Data!B209),4,2), LEFT(TRIM(Raw_Data!B209),2))), "NA")</f>
        <v>46139</v>
      </c>
      <c r="C209" s="12" t="s">
        <v>235</v>
      </c>
      <c r="D209" s="12" t="str">
        <f>IF(OR(LOWER(TRIM(Raw_Data!D209))="north",LOWER(TRIM(Raw_Data!D209))="n.",LOWER(SUBSTITUTE(TRIM(Raw_Data!D209)," ",""))="north"),"North",IF(OR(LOWER(TRIM(Raw_Data!D209))="south",LOWER(TRIM(Raw_Data!D209))="s."),"South",IF(OR(LOWER(TRIM(Raw_Data!D209))="east",LOWER(TRIM(Raw_Data!D209))="e."),"East",IF(OR(LOWER(TRIM(Raw_Data!D209))="west",LOWER(TRIM(Raw_Data!D209))="w."),"West",IF(OR(LOWER(TRIM(Raw_Data!D209))="central",LOWER(TRIM(Raw_Data!D209))="c."),"Central","Unknown")))))</f>
        <v>East</v>
      </c>
      <c r="E209" s="12" t="s">
        <v>135</v>
      </c>
      <c r="F209" s="12" t="s">
        <v>136</v>
      </c>
      <c r="G209" s="12" t="s">
        <v>50</v>
      </c>
      <c r="H209" s="12">
        <f>IFERROR(VALUE(Raw_Data!H209),0)</f>
        <v>1</v>
      </c>
      <c r="I209" s="49">
        <f>IFERROR(VALUE(Raw_Data!I209),0)</f>
        <v>9500</v>
      </c>
      <c r="J209" s="12">
        <f>IFERROR(VALUE(Raw_Data!J209),0)</f>
        <v>0.2</v>
      </c>
      <c r="K209" s="12" t="s">
        <v>79</v>
      </c>
      <c r="L209" s="12" t="str">
        <f>IF(COUNTIF($A$2:A209, A209)&gt;1, "Duplicate", "Valid")</f>
        <v>Valid</v>
      </c>
      <c r="M209" s="50">
        <f t="shared" si="6"/>
        <v>7600</v>
      </c>
      <c r="N209" t="str">
        <f>IF(COUNTIF($A$2:A209, A209)&gt;1, "Duplicate", IF(OR(B209="NA", ISERROR(B209), ISTEXT(B209)), "Invalid Date", IF(OR(C209=0, E209=0, H209=0, I209=0, J209=0), "Missing Data", "OK")))</f>
        <v>OK</v>
      </c>
      <c r="O209" t="str">
        <f>IFERROR(INDEX(Reps!$B:$B, MATCH(K209, Reps!$A:$A, 0)), "Not Found")</f>
        <v>Sneha Reddy</v>
      </c>
      <c r="P209" t="str">
        <f t="shared" si="7"/>
        <v>April</v>
      </c>
    </row>
    <row r="210" spans="1:16" x14ac:dyDescent="0.25">
      <c r="A210" t="s">
        <v>95</v>
      </c>
      <c r="B210" s="10">
        <f>IFERROR(IFERROR(INT(VALUE(Raw_Data!B210)), DATE(RIGHT(TRIM(Raw_Data!B210),4), MID(TRIM(Raw_Data!B210),4,2), LEFT(TRIM(Raw_Data!B210),2))), "NA")</f>
        <v>46877</v>
      </c>
      <c r="C210" s="12" t="s">
        <v>97</v>
      </c>
      <c r="D210" s="12" t="str">
        <f>IF(OR(LOWER(TRIM(Raw_Data!D210))="north",LOWER(TRIM(Raw_Data!D210))="n.",LOWER(SUBSTITUTE(TRIM(Raw_Data!D210)," ",""))="north"),"North",IF(OR(LOWER(TRIM(Raw_Data!D210))="south",LOWER(TRIM(Raw_Data!D210))="s."),"South",IF(OR(LOWER(TRIM(Raw_Data!D210))="east",LOWER(TRIM(Raw_Data!D210))="e."),"East",IF(OR(LOWER(TRIM(Raw_Data!D210))="west",LOWER(TRIM(Raw_Data!D210))="w."),"West",IF(OR(LOWER(TRIM(Raw_Data!D210))="central",LOWER(TRIM(Raw_Data!D210))="c."),"Central","Unknown")))))</f>
        <v>Central</v>
      </c>
      <c r="E210" s="12" t="s">
        <v>98</v>
      </c>
      <c r="F210" s="12" t="s">
        <v>99</v>
      </c>
      <c r="G210" s="12" t="s">
        <v>50</v>
      </c>
      <c r="H210" s="12">
        <f>IFERROR(VALUE(Raw_Data!H210),0)</f>
        <v>2</v>
      </c>
      <c r="I210" s="49">
        <f>IFERROR(VALUE(Raw_Data!I210),0)</f>
        <v>28000</v>
      </c>
      <c r="J210" s="12">
        <f>IFERROR(VALUE(Raw_Data!J210),0)</f>
        <v>0</v>
      </c>
      <c r="K210" s="12" t="s">
        <v>43</v>
      </c>
      <c r="L210" s="12" t="str">
        <f>IF(COUNTIF($A$2:A210, A210)&gt;1, "Duplicate", "Valid")</f>
        <v>Duplicate</v>
      </c>
      <c r="M210" s="50">
        <f t="shared" si="6"/>
        <v>56000</v>
      </c>
      <c r="N210" t="str">
        <f>IF(COUNTIF($A$2:A210, A210)&gt;1, "Duplicate", IF(OR(B210="NA", ISERROR(B210), ISTEXT(B210)), "Invalid Date", IF(OR(C210=0, E210=0, H210=0, I210=0, J210=0), "Missing Data", "OK")))</f>
        <v>Duplicate</v>
      </c>
      <c r="O210" t="str">
        <f>IFERROR(INDEX(Reps!$B:$B, MATCH(K210, Reps!$A:$A, 0)), "Not Found")</f>
        <v>Karan Mehta</v>
      </c>
      <c r="P210" t="str">
        <f t="shared" si="7"/>
        <v>May</v>
      </c>
    </row>
    <row r="211" spans="1:16" x14ac:dyDescent="0.25">
      <c r="A211" t="s">
        <v>456</v>
      </c>
      <c r="B211" s="10">
        <f>IFERROR(IFERROR(INT(VALUE(Raw_Data!B211)), DATE(RIGHT(TRIM(Raw_Data!B211),4), MID(TRIM(Raw_Data!B211),4,2), LEFT(TRIM(Raw_Data!B211),2))), "NA")</f>
        <v>46019</v>
      </c>
      <c r="C211" s="12" t="s">
        <v>235</v>
      </c>
      <c r="D211" s="12" t="str">
        <f>IF(OR(LOWER(TRIM(Raw_Data!D211))="north",LOWER(TRIM(Raw_Data!D211))="n.",LOWER(SUBSTITUTE(TRIM(Raw_Data!D211)," ",""))="north"),"North",IF(OR(LOWER(TRIM(Raw_Data!D211))="south",LOWER(TRIM(Raw_Data!D211))="s."),"South",IF(OR(LOWER(TRIM(Raw_Data!D211))="east",LOWER(TRIM(Raw_Data!D211))="e."),"East",IF(OR(LOWER(TRIM(Raw_Data!D211))="west",LOWER(TRIM(Raw_Data!D211))="w."),"West",IF(OR(LOWER(TRIM(Raw_Data!D211))="central",LOWER(TRIM(Raw_Data!D211))="c."),"Central","Unknown")))))</f>
        <v>South</v>
      </c>
      <c r="E211" s="12" t="s">
        <v>77</v>
      </c>
      <c r="F211" s="12" t="s">
        <v>78</v>
      </c>
      <c r="G211" s="12" t="s">
        <v>57</v>
      </c>
      <c r="H211" s="12">
        <f>IFERROR(VALUE(Raw_Data!H211),0)</f>
        <v>6</v>
      </c>
      <c r="I211" s="49">
        <f>IFERROR(VALUE(Raw_Data!I211),0)</f>
        <v>3500</v>
      </c>
      <c r="J211" s="12">
        <f>IFERROR(VALUE(Raw_Data!J211),0)</f>
        <v>0.15</v>
      </c>
      <c r="K211" s="12" t="s">
        <v>51</v>
      </c>
      <c r="L211" s="12" t="str">
        <f>IF(COUNTIF($A$2:A211, A211)&gt;1, "Duplicate", "Valid")</f>
        <v>Valid</v>
      </c>
      <c r="M211" s="50">
        <f t="shared" si="6"/>
        <v>17850</v>
      </c>
      <c r="N211" t="str">
        <f>IF(COUNTIF($A$2:A211, A211)&gt;1, "Duplicate", IF(OR(B211="NA", ISERROR(B211), ISTEXT(B211)), "Invalid Date", IF(OR(C211=0, E211=0, H211=0, I211=0, J211=0), "Missing Data", "OK")))</f>
        <v>OK</v>
      </c>
      <c r="O211" t="str">
        <f>IFERROR(INDEX(Reps!$B:$B, MATCH(K211, Reps!$A:$A, 0)), "Not Found")</f>
        <v>Priya Iyer</v>
      </c>
      <c r="P211" t="str">
        <f t="shared" si="7"/>
        <v>December</v>
      </c>
    </row>
    <row r="212" spans="1:16" x14ac:dyDescent="0.25">
      <c r="A212" t="s">
        <v>122</v>
      </c>
      <c r="B212" s="10">
        <f>IFERROR(IFERROR(INT(VALUE(Raw_Data!B212)), DATE(RIGHT(TRIM(Raw_Data!B212),4), MID(TRIM(Raw_Data!B212),4,2), LEFT(TRIM(Raw_Data!B212),2))), "NA")</f>
        <v>45969</v>
      </c>
      <c r="C212" s="12" t="s">
        <v>123</v>
      </c>
      <c r="D212" s="12" t="str">
        <f>IF(OR(LOWER(TRIM(Raw_Data!D212))="north",LOWER(TRIM(Raw_Data!D212))="n.",LOWER(SUBSTITUTE(TRIM(Raw_Data!D212)," ",""))="north"),"North",IF(OR(LOWER(TRIM(Raw_Data!D212))="south",LOWER(TRIM(Raw_Data!D212))="s."),"South",IF(OR(LOWER(TRIM(Raw_Data!D212))="east",LOWER(TRIM(Raw_Data!D212))="e."),"East",IF(OR(LOWER(TRIM(Raw_Data!D212))="west",LOWER(TRIM(Raw_Data!D212))="w."),"West",IF(OR(LOWER(TRIM(Raw_Data!D212))="central",LOWER(TRIM(Raw_Data!D212))="c."),"Central","Unknown")))))</f>
        <v>East</v>
      </c>
      <c r="E212" s="12" t="s">
        <v>48</v>
      </c>
      <c r="F212" s="12" t="s">
        <v>49</v>
      </c>
      <c r="G212" s="12" t="s">
        <v>50</v>
      </c>
      <c r="H212" s="12">
        <f>IFERROR(VALUE(Raw_Data!H212),0)</f>
        <v>3</v>
      </c>
      <c r="I212" s="49">
        <f>IFERROR(VALUE(Raw_Data!I212),0)</f>
        <v>0</v>
      </c>
      <c r="J212" s="12">
        <f>IFERROR(VALUE(Raw_Data!J212),0)</f>
        <v>0.2</v>
      </c>
      <c r="K212" s="12" t="s">
        <v>70</v>
      </c>
      <c r="L212" s="12" t="str">
        <f>IF(COUNTIF($A$2:A212, A212)&gt;1, "Duplicate", "Valid")</f>
        <v>Duplicate</v>
      </c>
      <c r="M212" s="50">
        <f t="shared" si="6"/>
        <v>0</v>
      </c>
      <c r="N212" t="str">
        <f>IF(COUNTIF($A$2:A212, A212)&gt;1, "Duplicate", IF(OR(B212="NA", ISERROR(B212), ISTEXT(B212)), "Invalid Date", IF(OR(C212=0, E212=0, H212=0, I212=0, J212=0), "Missing Data", "OK")))</f>
        <v>Duplicate</v>
      </c>
      <c r="O212" t="str">
        <f>IFERROR(INDEX(Reps!$B:$B, MATCH(K212, Reps!$A:$A, 0)), "Not Found")</f>
        <v>Vikram Nair</v>
      </c>
      <c r="P212" t="str">
        <f t="shared" si="7"/>
        <v>November</v>
      </c>
    </row>
    <row r="213" spans="1:16" x14ac:dyDescent="0.25">
      <c r="A213" t="s">
        <v>457</v>
      </c>
      <c r="B213" s="10">
        <f>IFERROR(IFERROR(INT(VALUE(Raw_Data!B213)), DATE(RIGHT(TRIM(Raw_Data!B213),4), MID(TRIM(Raw_Data!B213),4,2), LEFT(TRIM(Raw_Data!B213),2))), "NA")</f>
        <v>45912</v>
      </c>
      <c r="C213" s="12" t="s">
        <v>181</v>
      </c>
      <c r="D213" s="12" t="str">
        <f>IF(OR(LOWER(TRIM(Raw_Data!D213))="north",LOWER(TRIM(Raw_Data!D213))="n.",LOWER(SUBSTITUTE(TRIM(Raw_Data!D213)," ",""))="north"),"North",IF(OR(LOWER(TRIM(Raw_Data!D213))="south",LOWER(TRIM(Raw_Data!D213))="s."),"South",IF(OR(LOWER(TRIM(Raw_Data!D213))="east",LOWER(TRIM(Raw_Data!D213))="e."),"East",IF(OR(LOWER(TRIM(Raw_Data!D213))="west",LOWER(TRIM(Raw_Data!D213))="w."),"West",IF(OR(LOWER(TRIM(Raw_Data!D213))="central",LOWER(TRIM(Raw_Data!D213))="c."),"Central","Unknown")))))</f>
        <v>Central</v>
      </c>
      <c r="E213" s="12" t="s">
        <v>77</v>
      </c>
      <c r="F213" s="12" t="s">
        <v>78</v>
      </c>
      <c r="G213" s="12" t="s">
        <v>57</v>
      </c>
      <c r="H213" s="12">
        <f>IFERROR(VALUE(Raw_Data!H213),0)</f>
        <v>2</v>
      </c>
      <c r="I213" s="49">
        <f>IFERROR(VALUE(Raw_Data!I213),0)</f>
        <v>3500</v>
      </c>
      <c r="J213" s="12">
        <f>IFERROR(VALUE(Raw_Data!J213),0)</f>
        <v>0.25</v>
      </c>
      <c r="K213" s="12" t="s">
        <v>43</v>
      </c>
      <c r="L213" s="12" t="str">
        <f>IF(COUNTIF($A$2:A213, A213)&gt;1, "Duplicate", "Valid")</f>
        <v>Valid</v>
      </c>
      <c r="M213" s="50">
        <f t="shared" si="6"/>
        <v>5250</v>
      </c>
      <c r="N213" t="str">
        <f>IF(COUNTIF($A$2:A213, A213)&gt;1, "Duplicate", IF(OR(B213="NA", ISERROR(B213), ISTEXT(B213)), "Invalid Date", IF(OR(C213=0, E213=0, H213=0, I213=0, J213=0), "Missing Data", "OK")))</f>
        <v>OK</v>
      </c>
      <c r="O213" t="str">
        <f>IFERROR(INDEX(Reps!$B:$B, MATCH(K213, Reps!$A:$A, 0)), "Not Found")</f>
        <v>Karan Mehta</v>
      </c>
      <c r="P213" t="str">
        <f t="shared" si="7"/>
        <v>September</v>
      </c>
    </row>
    <row r="214" spans="1:16" x14ac:dyDescent="0.25">
      <c r="A214" t="s">
        <v>459</v>
      </c>
      <c r="B214" s="10">
        <f>IFERROR(IFERROR(INT(VALUE(Raw_Data!B214)), DATE(RIGHT(TRIM(Raw_Data!B214),4), MID(TRIM(Raw_Data!B214),4,2), LEFT(TRIM(Raw_Data!B214),2))), "NA")</f>
        <v>46073</v>
      </c>
      <c r="C214" s="12" t="s">
        <v>156</v>
      </c>
      <c r="D214" s="12" t="str">
        <f>IF(OR(LOWER(TRIM(Raw_Data!D214))="north",LOWER(TRIM(Raw_Data!D214))="n.",LOWER(SUBSTITUTE(TRIM(Raw_Data!D214)," ",""))="north"),"North",IF(OR(LOWER(TRIM(Raw_Data!D214))="south",LOWER(TRIM(Raw_Data!D214))="s."),"South",IF(OR(LOWER(TRIM(Raw_Data!D214))="east",LOWER(TRIM(Raw_Data!D214))="e."),"East",IF(OR(LOWER(TRIM(Raw_Data!D214))="west",LOWER(TRIM(Raw_Data!D214))="w."),"West",IF(OR(LOWER(TRIM(Raw_Data!D214))="central",LOWER(TRIM(Raw_Data!D214))="c."),"Central","Unknown")))))</f>
        <v>West</v>
      </c>
      <c r="E214" s="12" t="s">
        <v>40</v>
      </c>
      <c r="F214" s="12" t="s">
        <v>41</v>
      </c>
      <c r="G214" s="12" t="s">
        <v>42</v>
      </c>
      <c r="H214" s="12">
        <f>IFERROR(VALUE(Raw_Data!H214),0)</f>
        <v>7</v>
      </c>
      <c r="I214" s="49">
        <f>IFERROR(VALUE(Raw_Data!I214),0)</f>
        <v>450</v>
      </c>
      <c r="J214" s="12">
        <f>IFERROR(VALUE(Raw_Data!J214),0)</f>
        <v>0.15</v>
      </c>
      <c r="K214" s="12" t="s">
        <v>43</v>
      </c>
      <c r="L214" s="12" t="str">
        <f>IF(COUNTIF($A$2:A214, A214)&gt;1, "Duplicate", "Valid")</f>
        <v>Valid</v>
      </c>
      <c r="M214" s="50">
        <f t="shared" si="6"/>
        <v>2677.5</v>
      </c>
      <c r="N214" t="str">
        <f>IF(COUNTIF($A$2:A214, A214)&gt;1, "Duplicate", IF(OR(B214="NA", ISERROR(B214), ISTEXT(B214)), "Invalid Date", IF(OR(C214=0, E214=0, H214=0, I214=0, J214=0), "Missing Data", "OK")))</f>
        <v>OK</v>
      </c>
      <c r="O214" t="str">
        <f>IFERROR(INDEX(Reps!$B:$B, MATCH(K214, Reps!$A:$A, 0)), "Not Found")</f>
        <v>Karan Mehta</v>
      </c>
      <c r="P214" t="str">
        <f t="shared" si="7"/>
        <v>February</v>
      </c>
    </row>
    <row r="215" spans="1:16" x14ac:dyDescent="0.25">
      <c r="A215" t="s">
        <v>461</v>
      </c>
      <c r="B215" s="10">
        <f>IFERROR(IFERROR(INT(VALUE(Raw_Data!B215)), DATE(RIGHT(TRIM(Raw_Data!B215),4), MID(TRIM(Raw_Data!B215),4,2), LEFT(TRIM(Raw_Data!B215),2))), "NA")</f>
        <v>46131</v>
      </c>
      <c r="C215" s="12" t="s">
        <v>160</v>
      </c>
      <c r="D215" s="12" t="str">
        <f>IF(OR(LOWER(TRIM(Raw_Data!D215))="north",LOWER(TRIM(Raw_Data!D215))="n.",LOWER(SUBSTITUTE(TRIM(Raw_Data!D215)," ",""))="north"),"North",IF(OR(LOWER(TRIM(Raw_Data!D215))="south",LOWER(TRIM(Raw_Data!D215))="s."),"South",IF(OR(LOWER(TRIM(Raw_Data!D215))="east",LOWER(TRIM(Raw_Data!D215))="e."),"East",IF(OR(LOWER(TRIM(Raw_Data!D215))="west",LOWER(TRIM(Raw_Data!D215))="w."),"West",IF(OR(LOWER(TRIM(Raw_Data!D215))="central",LOWER(TRIM(Raw_Data!D215))="c."),"Central","Unknown")))))</f>
        <v>North</v>
      </c>
      <c r="E215" s="12" t="s">
        <v>89</v>
      </c>
      <c r="F215" s="12" t="s">
        <v>90</v>
      </c>
      <c r="G215" s="12" t="s">
        <v>91</v>
      </c>
      <c r="H215" s="12">
        <f>IFERROR(VALUE(Raw_Data!H215),0)</f>
        <v>7</v>
      </c>
      <c r="I215" s="49">
        <f>IFERROR(VALUE(Raw_Data!I215),0)</f>
        <v>2200</v>
      </c>
      <c r="J215" s="12">
        <f>IFERROR(VALUE(Raw_Data!J215),0)</f>
        <v>0.25</v>
      </c>
      <c r="K215" s="12" t="s">
        <v>74</v>
      </c>
      <c r="L215" s="12" t="str">
        <f>IF(COUNTIF($A$2:A215, A215)&gt;1, "Duplicate", "Valid")</f>
        <v>Valid</v>
      </c>
      <c r="M215" s="50">
        <f t="shared" si="6"/>
        <v>11550</v>
      </c>
      <c r="N215" t="str">
        <f>IF(COUNTIF($A$2:A215, A215)&gt;1, "Duplicate", IF(OR(B215="NA", ISERROR(B215), ISTEXT(B215)), "Invalid Date", IF(OR(C215=0, E215=0, H215=0, I215=0, J215=0), "Missing Data", "OK")))</f>
        <v>OK</v>
      </c>
      <c r="O215" t="str">
        <f>IFERROR(INDEX(Reps!$B:$B, MATCH(K215, Reps!$A:$A, 0)), "Not Found")</f>
        <v>Rahul Verma</v>
      </c>
      <c r="P215" t="str">
        <f t="shared" si="7"/>
        <v>April</v>
      </c>
    </row>
    <row r="216" spans="1:16" x14ac:dyDescent="0.25">
      <c r="A216" t="s">
        <v>462</v>
      </c>
      <c r="B216" s="10">
        <f>IFERROR(IFERROR(INT(VALUE(Raw_Data!B216)), DATE(RIGHT(TRIM(Raw_Data!B216),4), MID(TRIM(Raw_Data!B216),4,2), LEFT(TRIM(Raw_Data!B216),2))), "NA")</f>
        <v>46103</v>
      </c>
      <c r="C216" s="12" t="s">
        <v>64</v>
      </c>
      <c r="D216" s="12" t="str">
        <f>IF(OR(LOWER(TRIM(Raw_Data!D216))="north",LOWER(TRIM(Raw_Data!D216))="n.",LOWER(SUBSTITUTE(TRIM(Raw_Data!D216)," ",""))="north"),"North",IF(OR(LOWER(TRIM(Raw_Data!D216))="south",LOWER(TRIM(Raw_Data!D216))="s."),"South",IF(OR(LOWER(TRIM(Raw_Data!D216))="east",LOWER(TRIM(Raw_Data!D216))="e."),"East",IF(OR(LOWER(TRIM(Raw_Data!D216))="west",LOWER(TRIM(Raw_Data!D216))="w."),"West",IF(OR(LOWER(TRIM(Raw_Data!D216))="central",LOWER(TRIM(Raw_Data!D216))="c."),"Central","Unknown")))))</f>
        <v>East</v>
      </c>
      <c r="E216" s="12" t="s">
        <v>135</v>
      </c>
      <c r="F216" s="12" t="s">
        <v>136</v>
      </c>
      <c r="G216" s="12" t="s">
        <v>50</v>
      </c>
      <c r="H216" s="12">
        <f>IFERROR(VALUE(Raw_Data!H216),0)</f>
        <v>8</v>
      </c>
      <c r="I216" s="49">
        <f>IFERROR(VALUE(Raw_Data!I216),0)</f>
        <v>9500</v>
      </c>
      <c r="J216" s="12">
        <f>IFERROR(VALUE(Raw_Data!J216),0)</f>
        <v>0.25</v>
      </c>
      <c r="K216" s="12" t="s">
        <v>102</v>
      </c>
      <c r="L216" s="12" t="str">
        <f>IF(COUNTIF($A$2:A216, A216)&gt;1, "Duplicate", "Valid")</f>
        <v>Valid</v>
      </c>
      <c r="M216" s="50">
        <f t="shared" si="6"/>
        <v>57000</v>
      </c>
      <c r="N216" t="str">
        <f>IF(COUNTIF($A$2:A216, A216)&gt;1, "Duplicate", IF(OR(B216="NA", ISERROR(B216), ISTEXT(B216)), "Invalid Date", IF(OR(C216=0, E216=0, H216=0, I216=0, J216=0), "Missing Data", "OK")))</f>
        <v>OK</v>
      </c>
      <c r="O216" t="str">
        <f>IFERROR(INDEX(Reps!$B:$B, MATCH(K216, Reps!$A:$A, 0)), "Not Found")</f>
        <v>Anita Sharma</v>
      </c>
      <c r="P216" t="str">
        <f t="shared" si="7"/>
        <v>March</v>
      </c>
    </row>
    <row r="217" spans="1:16" x14ac:dyDescent="0.25">
      <c r="A217" t="s">
        <v>463</v>
      </c>
      <c r="B217" s="10">
        <f>IFERROR(IFERROR(INT(VALUE(Raw_Data!B217)), DATE(RIGHT(TRIM(Raw_Data!B217),4), MID(TRIM(Raw_Data!B217),4,2), LEFT(TRIM(Raw_Data!B217),2))), "NA")</f>
        <v>46076</v>
      </c>
      <c r="C217" s="12" t="s">
        <v>138</v>
      </c>
      <c r="D217" s="12" t="str">
        <f>IF(OR(LOWER(TRIM(Raw_Data!D217))="north",LOWER(TRIM(Raw_Data!D217))="n.",LOWER(SUBSTITUTE(TRIM(Raw_Data!D217)," ",""))="north"),"North",IF(OR(LOWER(TRIM(Raw_Data!D217))="south",LOWER(TRIM(Raw_Data!D217))="s."),"South",IF(OR(LOWER(TRIM(Raw_Data!D217))="east",LOWER(TRIM(Raw_Data!D217))="e."),"East",IF(OR(LOWER(TRIM(Raw_Data!D217))="west",LOWER(TRIM(Raw_Data!D217))="w."),"West",IF(OR(LOWER(TRIM(Raw_Data!D217))="central",LOWER(TRIM(Raw_Data!D217))="c."),"Central","Unknown")))))</f>
        <v>East</v>
      </c>
      <c r="E217" s="12" t="s">
        <v>89</v>
      </c>
      <c r="F217" s="12" t="s">
        <v>90</v>
      </c>
      <c r="G217" s="12" t="s">
        <v>91</v>
      </c>
      <c r="H217" s="12">
        <f>IFERROR(VALUE(Raw_Data!H217),0)</f>
        <v>12</v>
      </c>
      <c r="I217" s="49">
        <f>IFERROR(VALUE(Raw_Data!I217),0)</f>
        <v>2200</v>
      </c>
      <c r="J217" s="12">
        <f>IFERROR(VALUE(Raw_Data!J217),0)</f>
        <v>0.1</v>
      </c>
      <c r="K217" s="12" t="s">
        <v>102</v>
      </c>
      <c r="L217" s="12" t="str">
        <f>IF(COUNTIF($A$2:A217, A217)&gt;1, "Duplicate", "Valid")</f>
        <v>Valid</v>
      </c>
      <c r="M217" s="50">
        <f t="shared" si="6"/>
        <v>23760</v>
      </c>
      <c r="N217" t="str">
        <f>IF(COUNTIF($A$2:A217, A217)&gt;1, "Duplicate", IF(OR(B217="NA", ISERROR(B217), ISTEXT(B217)), "Invalid Date", IF(OR(C217=0, E217=0, H217=0, I217=0, J217=0), "Missing Data", "OK")))</f>
        <v>OK</v>
      </c>
      <c r="O217" t="str">
        <f>IFERROR(INDEX(Reps!$B:$B, MATCH(K217, Reps!$A:$A, 0)), "Not Found")</f>
        <v>Anita Sharma</v>
      </c>
      <c r="P217" t="str">
        <f t="shared" si="7"/>
        <v>February</v>
      </c>
    </row>
    <row r="218" spans="1:16" x14ac:dyDescent="0.25">
      <c r="A218" t="s">
        <v>309</v>
      </c>
      <c r="B218" s="10">
        <f>IFERROR(IFERROR(INT(VALUE(Raw_Data!B218)), DATE(RIGHT(TRIM(Raw_Data!B218),4), MID(TRIM(Raw_Data!B218),4,2), LEFT(TRIM(Raw_Data!B218),2))), "NA")</f>
        <v>46127</v>
      </c>
      <c r="C218" s="12" t="s">
        <v>68</v>
      </c>
      <c r="D218" s="12" t="str">
        <f>IF(OR(LOWER(TRIM(Raw_Data!D218))="north",LOWER(TRIM(Raw_Data!D218))="n.",LOWER(SUBSTITUTE(TRIM(Raw_Data!D218)," ",""))="north"),"North",IF(OR(LOWER(TRIM(Raw_Data!D218))="south",LOWER(TRIM(Raw_Data!D218))="s."),"South",IF(OR(LOWER(TRIM(Raw_Data!D218))="east",LOWER(TRIM(Raw_Data!D218))="e."),"East",IF(OR(LOWER(TRIM(Raw_Data!D218))="west",LOWER(TRIM(Raw_Data!D218))="w."),"West",IF(OR(LOWER(TRIM(Raw_Data!D218))="central",LOWER(TRIM(Raw_Data!D218))="c."),"Central","Unknown")))))</f>
        <v>East</v>
      </c>
      <c r="E218" s="12" t="s">
        <v>111</v>
      </c>
      <c r="F218" s="12" t="s">
        <v>112</v>
      </c>
      <c r="G218" s="12" t="s">
        <v>57</v>
      </c>
      <c r="H218" s="12">
        <f>IFERROR(VALUE(Raw_Data!H218),0)</f>
        <v>2</v>
      </c>
      <c r="I218" s="49">
        <f>IFERROR(VALUE(Raw_Data!I218),0)</f>
        <v>18000</v>
      </c>
      <c r="J218" s="12">
        <f>IFERROR(VALUE(Raw_Data!J218),0)</f>
        <v>0.2</v>
      </c>
      <c r="K218" s="12" t="s">
        <v>102</v>
      </c>
      <c r="L218" s="12" t="str">
        <f>IF(COUNTIF($A$2:A218, A218)&gt;1, "Duplicate", "Valid")</f>
        <v>Duplicate</v>
      </c>
      <c r="M218" s="50">
        <f t="shared" si="6"/>
        <v>28800</v>
      </c>
      <c r="N218" t="str">
        <f>IF(COUNTIF($A$2:A218, A218)&gt;1, "Duplicate", IF(OR(B218="NA", ISERROR(B218), ISTEXT(B218)), "Invalid Date", IF(OR(C218=0, E218=0, H218=0, I218=0, J218=0), "Missing Data", "OK")))</f>
        <v>Duplicate</v>
      </c>
      <c r="O218" t="str">
        <f>IFERROR(INDEX(Reps!$B:$B, MATCH(K218, Reps!$A:$A, 0)), "Not Found")</f>
        <v>Anita Sharma</v>
      </c>
      <c r="P218" t="str">
        <f t="shared" si="7"/>
        <v>April</v>
      </c>
    </row>
    <row r="219" spans="1:16" x14ac:dyDescent="0.25">
      <c r="A219" t="s">
        <v>464</v>
      </c>
      <c r="B219" s="10">
        <f>IFERROR(IFERROR(INT(VALUE(Raw_Data!B219)), DATE(RIGHT(TRIM(Raw_Data!B219),4), MID(TRIM(Raw_Data!B219),4,2), LEFT(TRIM(Raw_Data!B219),2))), "NA")</f>
        <v>46059</v>
      </c>
      <c r="C219" s="12" t="s">
        <v>60</v>
      </c>
      <c r="D219" s="12" t="str">
        <f>IF(OR(LOWER(TRIM(Raw_Data!D219))="north",LOWER(TRIM(Raw_Data!D219))="n.",LOWER(SUBSTITUTE(TRIM(Raw_Data!D219)," ",""))="north"),"North",IF(OR(LOWER(TRIM(Raw_Data!D219))="south",LOWER(TRIM(Raw_Data!D219))="s."),"South",IF(OR(LOWER(TRIM(Raw_Data!D219))="east",LOWER(TRIM(Raw_Data!D219))="e."),"East",IF(OR(LOWER(TRIM(Raw_Data!D219))="west",LOWER(TRIM(Raw_Data!D219))="w."),"West",IF(OR(LOWER(TRIM(Raw_Data!D219))="central",LOWER(TRIM(Raw_Data!D219))="c."),"Central","Unknown")))))</f>
        <v>East</v>
      </c>
      <c r="E219" s="12" t="s">
        <v>89</v>
      </c>
      <c r="F219" s="12" t="s">
        <v>90</v>
      </c>
      <c r="G219" s="12" t="s">
        <v>91</v>
      </c>
      <c r="H219" s="12">
        <f>IFERROR(VALUE(Raw_Data!H219),0)</f>
        <v>7</v>
      </c>
      <c r="I219" s="49">
        <f>IFERROR(VALUE(Raw_Data!I219),0)</f>
        <v>2200</v>
      </c>
      <c r="J219" s="12">
        <f>IFERROR(VALUE(Raw_Data!J219),0)</f>
        <v>0.05</v>
      </c>
      <c r="K219" s="12" t="s">
        <v>74</v>
      </c>
      <c r="L219" s="12" t="str">
        <f>IF(COUNTIF($A$2:A219, A219)&gt;1, "Duplicate", "Valid")</f>
        <v>Valid</v>
      </c>
      <c r="M219" s="50">
        <f t="shared" si="6"/>
        <v>14630</v>
      </c>
      <c r="N219" t="str">
        <f>IF(COUNTIF($A$2:A219, A219)&gt;1, "Duplicate", IF(OR(B219="NA", ISERROR(B219), ISTEXT(B219)), "Invalid Date", IF(OR(C219=0, E219=0, H219=0, I219=0, J219=0), "Missing Data", "OK")))</f>
        <v>OK</v>
      </c>
      <c r="O219" t="str">
        <f>IFERROR(INDEX(Reps!$B:$B, MATCH(K219, Reps!$A:$A, 0)), "Not Found")</f>
        <v>Rahul Verma</v>
      </c>
      <c r="P219" t="str">
        <f t="shared" si="7"/>
        <v>February</v>
      </c>
    </row>
    <row r="220" spans="1:16" x14ac:dyDescent="0.25">
      <c r="A220" t="s">
        <v>465</v>
      </c>
      <c r="B220" s="10">
        <f>IFERROR(IFERROR(INT(VALUE(Raw_Data!B220)), DATE(RIGHT(TRIM(Raw_Data!B220),4), MID(TRIM(Raw_Data!B220),4,2), LEFT(TRIM(Raw_Data!B220),2))), "NA")</f>
        <v>46075</v>
      </c>
      <c r="C220" s="12" t="s">
        <v>126</v>
      </c>
      <c r="D220" s="12" t="str">
        <f>IF(OR(LOWER(TRIM(Raw_Data!D220))="north",LOWER(TRIM(Raw_Data!D220))="n.",LOWER(SUBSTITUTE(TRIM(Raw_Data!D220)," ",""))="north"),"North",IF(OR(LOWER(TRIM(Raw_Data!D220))="south",LOWER(TRIM(Raw_Data!D220))="s."),"South",IF(OR(LOWER(TRIM(Raw_Data!D220))="east",LOWER(TRIM(Raw_Data!D220))="e."),"East",IF(OR(LOWER(TRIM(Raw_Data!D220))="west",LOWER(TRIM(Raw_Data!D220))="w."),"West",IF(OR(LOWER(TRIM(Raw_Data!D220))="central",LOWER(TRIM(Raw_Data!D220))="c."),"Central","Unknown")))))</f>
        <v>South</v>
      </c>
      <c r="E220" s="12" t="s">
        <v>135</v>
      </c>
      <c r="F220" s="12" t="s">
        <v>136</v>
      </c>
      <c r="G220" s="12" t="s">
        <v>50</v>
      </c>
      <c r="H220" s="12">
        <f>IFERROR(VALUE(Raw_Data!H220),0)</f>
        <v>2</v>
      </c>
      <c r="I220" s="49">
        <f>IFERROR(VALUE(Raw_Data!I220),0)</f>
        <v>9500</v>
      </c>
      <c r="J220" s="12">
        <f>IFERROR(VALUE(Raw_Data!J220),0)</f>
        <v>0.25</v>
      </c>
      <c r="K220" s="12" t="s">
        <v>43</v>
      </c>
      <c r="L220" s="12" t="str">
        <f>IF(COUNTIF($A$2:A220, A220)&gt;1, "Duplicate", "Valid")</f>
        <v>Valid</v>
      </c>
      <c r="M220" s="50">
        <f t="shared" si="6"/>
        <v>14250</v>
      </c>
      <c r="N220" t="str">
        <f>IF(COUNTIF($A$2:A220, A220)&gt;1, "Duplicate", IF(OR(B220="NA", ISERROR(B220), ISTEXT(B220)), "Invalid Date", IF(OR(C220=0, E220=0, H220=0, I220=0, J220=0), "Missing Data", "OK")))</f>
        <v>OK</v>
      </c>
      <c r="O220" t="str">
        <f>IFERROR(INDEX(Reps!$B:$B, MATCH(K220, Reps!$A:$A, 0)), "Not Found")</f>
        <v>Karan Mehta</v>
      </c>
      <c r="P220" t="str">
        <f t="shared" si="7"/>
        <v>February</v>
      </c>
    </row>
    <row r="221" spans="1:16" x14ac:dyDescent="0.25">
      <c r="A221" t="s">
        <v>466</v>
      </c>
      <c r="B221" s="10">
        <f>IFERROR(IFERROR(INT(VALUE(Raw_Data!B221)), DATE(RIGHT(TRIM(Raw_Data!B221),4), MID(TRIM(Raw_Data!B221),4,2), LEFT(TRIM(Raw_Data!B221),2))), "NA")</f>
        <v>46238</v>
      </c>
      <c r="C221" s="12" t="s">
        <v>53</v>
      </c>
      <c r="D221" s="12" t="str">
        <f>IF(OR(LOWER(TRIM(Raw_Data!D221))="north",LOWER(TRIM(Raw_Data!D221))="n.",LOWER(SUBSTITUTE(TRIM(Raw_Data!D221)," ",""))="north"),"North",IF(OR(LOWER(TRIM(Raw_Data!D221))="south",LOWER(TRIM(Raw_Data!D221))="s."),"South",IF(OR(LOWER(TRIM(Raw_Data!D221))="east",LOWER(TRIM(Raw_Data!D221))="e."),"East",IF(OR(LOWER(TRIM(Raw_Data!D221))="west",LOWER(TRIM(Raw_Data!D221))="w."),"West",IF(OR(LOWER(TRIM(Raw_Data!D221))="central",LOWER(TRIM(Raw_Data!D221))="c."),"Central","Unknown")))))</f>
        <v>South</v>
      </c>
      <c r="E221" s="12" t="s">
        <v>48</v>
      </c>
      <c r="F221" s="12" t="s">
        <v>49</v>
      </c>
      <c r="G221" s="12" t="s">
        <v>50</v>
      </c>
      <c r="H221" s="12">
        <f>IFERROR(VALUE(Raw_Data!H221),0)</f>
        <v>7</v>
      </c>
      <c r="I221" s="49">
        <f>IFERROR(VALUE(Raw_Data!I221),0)</f>
        <v>0</v>
      </c>
      <c r="J221" s="12">
        <f>IFERROR(VALUE(Raw_Data!J221),0)</f>
        <v>0.15</v>
      </c>
      <c r="K221" s="12" t="s">
        <v>43</v>
      </c>
      <c r="L221" s="12" t="str">
        <f>IF(COUNTIF($A$2:A221, A221)&gt;1, "Duplicate", "Valid")</f>
        <v>Valid</v>
      </c>
      <c r="M221" s="50">
        <f t="shared" si="6"/>
        <v>0</v>
      </c>
      <c r="N221" t="str">
        <f>IF(COUNTIF($A$2:A221, A221)&gt;1, "Duplicate", IF(OR(B221="NA", ISERROR(B221), ISTEXT(B221)), "Invalid Date", IF(OR(C221=0, E221=0, H221=0, I221=0, J221=0), "Missing Data", "OK")))</f>
        <v>Missing Data</v>
      </c>
      <c r="O221" t="str">
        <f>IFERROR(INDEX(Reps!$B:$B, MATCH(K221, Reps!$A:$A, 0)), "Not Found")</f>
        <v>Karan Mehta</v>
      </c>
      <c r="P221" t="str">
        <f t="shared" si="7"/>
        <v>August</v>
      </c>
    </row>
    <row r="222" spans="1:16" x14ac:dyDescent="0.25">
      <c r="A222" t="s">
        <v>468</v>
      </c>
      <c r="B222" s="10">
        <f>IFERROR(IFERROR(INT(VALUE(Raw_Data!B222)), DATE(RIGHT(TRIM(Raw_Data!B222),4), MID(TRIM(Raw_Data!B222),4,2), LEFT(TRIM(Raw_Data!B222),2))), "NA")</f>
        <v>46092</v>
      </c>
      <c r="C222" s="12" t="s">
        <v>314</v>
      </c>
      <c r="D222" s="12" t="str">
        <f>IF(OR(LOWER(TRIM(Raw_Data!D222))="north",LOWER(TRIM(Raw_Data!D222))="n.",LOWER(SUBSTITUTE(TRIM(Raw_Data!D222)," ",""))="north"),"North",IF(OR(LOWER(TRIM(Raw_Data!D222))="south",LOWER(TRIM(Raw_Data!D222))="s."),"South",IF(OR(LOWER(TRIM(Raw_Data!D222))="east",LOWER(TRIM(Raw_Data!D222))="e."),"East",IF(OR(LOWER(TRIM(Raw_Data!D222))="west",LOWER(TRIM(Raw_Data!D222))="w."),"West",IF(OR(LOWER(TRIM(Raw_Data!D222))="central",LOWER(TRIM(Raw_Data!D222))="c."),"Central","Unknown")))))</f>
        <v>North</v>
      </c>
      <c r="E222" s="12" t="s">
        <v>127</v>
      </c>
      <c r="F222" s="12" t="s">
        <v>128</v>
      </c>
      <c r="G222" s="12" t="s">
        <v>57</v>
      </c>
      <c r="H222" s="12">
        <f>IFERROR(VALUE(Raw_Data!H222),0)</f>
        <v>12</v>
      </c>
      <c r="I222" s="49">
        <f>IFERROR(VALUE(Raw_Data!I222),0)</f>
        <v>4500</v>
      </c>
      <c r="J222" s="12">
        <f>IFERROR(VALUE(Raw_Data!J222),0)</f>
        <v>0.1</v>
      </c>
      <c r="K222" s="12" t="s">
        <v>74</v>
      </c>
      <c r="L222" s="12" t="str">
        <f>IF(COUNTIF($A$2:A222, A222)&gt;1, "Duplicate", "Valid")</f>
        <v>Valid</v>
      </c>
      <c r="M222" s="50">
        <f t="shared" si="6"/>
        <v>48600</v>
      </c>
      <c r="N222" t="str">
        <f>IF(COUNTIF($A$2:A222, A222)&gt;1, "Duplicate", IF(OR(B222="NA", ISERROR(B222), ISTEXT(B222)), "Invalid Date", IF(OR(C222=0, E222=0, H222=0, I222=0, J222=0), "Missing Data", "OK")))</f>
        <v>OK</v>
      </c>
      <c r="O222" t="str">
        <f>IFERROR(INDEX(Reps!$B:$B, MATCH(K222, Reps!$A:$A, 0)), "Not Found")</f>
        <v>Rahul Verma</v>
      </c>
      <c r="P222" t="str">
        <f t="shared" si="7"/>
        <v>March</v>
      </c>
    </row>
    <row r="223" spans="1:16" x14ac:dyDescent="0.25">
      <c r="A223" t="s">
        <v>470</v>
      </c>
      <c r="B223" s="10">
        <f>IFERROR(IFERROR(INT(VALUE(Raw_Data!B223)), DATE(RIGHT(TRIM(Raw_Data!B223),4), MID(TRIM(Raw_Data!B223),4,2), LEFT(TRIM(Raw_Data!B223),2))), "NA")</f>
        <v>45993</v>
      </c>
      <c r="C223" s="12" t="s">
        <v>214</v>
      </c>
      <c r="D223" s="12" t="str">
        <f>IF(OR(LOWER(TRIM(Raw_Data!D223))="north",LOWER(TRIM(Raw_Data!D223))="n.",LOWER(SUBSTITUTE(TRIM(Raw_Data!D223)," ",""))="north"),"North",IF(OR(LOWER(TRIM(Raw_Data!D223))="south",LOWER(TRIM(Raw_Data!D223))="s."),"South",IF(OR(LOWER(TRIM(Raw_Data!D223))="east",LOWER(TRIM(Raw_Data!D223))="e."),"East",IF(OR(LOWER(TRIM(Raw_Data!D223))="west",LOWER(TRIM(Raw_Data!D223))="w."),"West",IF(OR(LOWER(TRIM(Raw_Data!D223))="central",LOWER(TRIM(Raw_Data!D223))="c."),"Central","Unknown")))))</f>
        <v>East</v>
      </c>
      <c r="E223" s="12" t="s">
        <v>48</v>
      </c>
      <c r="F223" s="12" t="s">
        <v>49</v>
      </c>
      <c r="G223" s="12" t="s">
        <v>50</v>
      </c>
      <c r="H223" s="12">
        <f>IFERROR(VALUE(Raw_Data!H223),0)</f>
        <v>5</v>
      </c>
      <c r="I223" s="49">
        <f>IFERROR(VALUE(Raw_Data!I223),0)</f>
        <v>0</v>
      </c>
      <c r="J223" s="12">
        <f>IFERROR(VALUE(Raw_Data!J223),0)</f>
        <v>0.05</v>
      </c>
      <c r="K223" s="12" t="s">
        <v>51</v>
      </c>
      <c r="L223" s="12" t="str">
        <f>IF(COUNTIF($A$2:A223, A223)&gt;1, "Duplicate", "Valid")</f>
        <v>Valid</v>
      </c>
      <c r="M223" s="50">
        <f t="shared" si="6"/>
        <v>0</v>
      </c>
      <c r="N223" t="str">
        <f>IF(COUNTIF($A$2:A223, A223)&gt;1, "Duplicate", IF(OR(B223="NA", ISERROR(B223), ISTEXT(B223)), "Invalid Date", IF(OR(C223=0, E223=0, H223=0, I223=0, J223=0), "Missing Data", "OK")))</f>
        <v>Missing Data</v>
      </c>
      <c r="O223" t="str">
        <f>IFERROR(INDEX(Reps!$B:$B, MATCH(K223, Reps!$A:$A, 0)), "Not Found")</f>
        <v>Priya Iyer</v>
      </c>
      <c r="P223" t="str">
        <f t="shared" si="7"/>
        <v>December</v>
      </c>
    </row>
    <row r="224" spans="1:16" x14ac:dyDescent="0.25">
      <c r="A224" t="s">
        <v>239</v>
      </c>
      <c r="B224" s="10">
        <f>IFERROR(IFERROR(INT(VALUE(Raw_Data!B224)), DATE(RIGHT(TRIM(Raw_Data!B224),4), MID(TRIM(Raw_Data!B224),4,2), LEFT(TRIM(Raw_Data!B224),2))), "NA")</f>
        <v>46123</v>
      </c>
      <c r="C224" s="12" t="s">
        <v>241</v>
      </c>
      <c r="D224" s="12" t="str">
        <f>IF(OR(LOWER(TRIM(Raw_Data!D224))="north",LOWER(TRIM(Raw_Data!D224))="n.",LOWER(SUBSTITUTE(TRIM(Raw_Data!D224)," ",""))="north"),"North",IF(OR(LOWER(TRIM(Raw_Data!D224))="south",LOWER(TRIM(Raw_Data!D224))="s."),"South",IF(OR(LOWER(TRIM(Raw_Data!D224))="east",LOWER(TRIM(Raw_Data!D224))="e."),"East",IF(OR(LOWER(TRIM(Raw_Data!D224))="west",LOWER(TRIM(Raw_Data!D224))="w."),"West",IF(OR(LOWER(TRIM(Raw_Data!D224))="central",LOWER(TRIM(Raw_Data!D224))="c."),"Central","Unknown")))))</f>
        <v>South</v>
      </c>
      <c r="E224" s="12" t="s">
        <v>135</v>
      </c>
      <c r="F224" s="12" t="s">
        <v>136</v>
      </c>
      <c r="G224" s="12" t="s">
        <v>50</v>
      </c>
      <c r="H224" s="12">
        <f>IFERROR(VALUE(Raw_Data!H224),0)</f>
        <v>6</v>
      </c>
      <c r="I224" s="49">
        <f>IFERROR(VALUE(Raw_Data!I224),0)</f>
        <v>9500</v>
      </c>
      <c r="J224" s="12">
        <f>IFERROR(VALUE(Raw_Data!J224),0)</f>
        <v>0.1</v>
      </c>
      <c r="K224" s="12" t="s">
        <v>43</v>
      </c>
      <c r="L224" s="12" t="str">
        <f>IF(COUNTIF($A$2:A224, A224)&gt;1, "Duplicate", "Valid")</f>
        <v>Duplicate</v>
      </c>
      <c r="M224" s="50">
        <f t="shared" si="6"/>
        <v>51300</v>
      </c>
      <c r="N224" t="str">
        <f>IF(COUNTIF($A$2:A224, A224)&gt;1, "Duplicate", IF(OR(B224="NA", ISERROR(B224), ISTEXT(B224)), "Invalid Date", IF(OR(C224=0, E224=0, H224=0, I224=0, J224=0), "Missing Data", "OK")))</f>
        <v>Duplicate</v>
      </c>
      <c r="O224" t="str">
        <f>IFERROR(INDEX(Reps!$B:$B, MATCH(K224, Reps!$A:$A, 0)), "Not Found")</f>
        <v>Karan Mehta</v>
      </c>
      <c r="P224" t="str">
        <f t="shared" si="7"/>
        <v>April</v>
      </c>
    </row>
    <row r="225" spans="1:16" x14ac:dyDescent="0.25">
      <c r="A225" t="s">
        <v>471</v>
      </c>
      <c r="B225" s="10">
        <f>IFERROR(IFERROR(INT(VALUE(Raw_Data!B225)), DATE(RIGHT(TRIM(Raw_Data!B225),4), MID(TRIM(Raw_Data!B225),4,2), LEFT(TRIM(Raw_Data!B225),2))), "NA")</f>
        <v>46084</v>
      </c>
      <c r="C225" s="12" t="s">
        <v>241</v>
      </c>
      <c r="D225" s="12" t="str">
        <f>IF(OR(LOWER(TRIM(Raw_Data!D225))="north",LOWER(TRIM(Raw_Data!D225))="n.",LOWER(SUBSTITUTE(TRIM(Raw_Data!D225)," ",""))="north"),"North",IF(OR(LOWER(TRIM(Raw_Data!D225))="south",LOWER(TRIM(Raw_Data!D225))="s."),"South",IF(OR(LOWER(TRIM(Raw_Data!D225))="east",LOWER(TRIM(Raw_Data!D225))="e."),"East",IF(OR(LOWER(TRIM(Raw_Data!D225))="west",LOWER(TRIM(Raw_Data!D225))="w."),"West",IF(OR(LOWER(TRIM(Raw_Data!D225))="central",LOWER(TRIM(Raw_Data!D225))="c."),"Central","Unknown")))))</f>
        <v>Unknown</v>
      </c>
      <c r="E225" s="12" t="s">
        <v>111</v>
      </c>
      <c r="F225" s="12" t="s">
        <v>112</v>
      </c>
      <c r="G225" s="12" t="s">
        <v>57</v>
      </c>
      <c r="H225" s="12">
        <f>IFERROR(VALUE(Raw_Data!H225),0)</f>
        <v>3</v>
      </c>
      <c r="I225" s="49">
        <f>IFERROR(VALUE(Raw_Data!I225),0)</f>
        <v>18000</v>
      </c>
      <c r="J225" s="12">
        <f>IFERROR(VALUE(Raw_Data!J225),0)</f>
        <v>0.05</v>
      </c>
      <c r="K225" s="12" t="s">
        <v>74</v>
      </c>
      <c r="L225" s="12" t="str">
        <f>IF(COUNTIF($A$2:A225, A225)&gt;1, "Duplicate", "Valid")</f>
        <v>Valid</v>
      </c>
      <c r="M225" s="50">
        <f t="shared" si="6"/>
        <v>51300</v>
      </c>
      <c r="N225" t="str">
        <f>IF(COUNTIF($A$2:A225, A225)&gt;1, "Duplicate", IF(OR(B225="NA", ISERROR(B225), ISTEXT(B225)), "Invalid Date", IF(OR(C225=0, E225=0, H225=0, I225=0, J225=0), "Missing Data", "OK")))</f>
        <v>OK</v>
      </c>
      <c r="O225" t="str">
        <f>IFERROR(INDEX(Reps!$B:$B, MATCH(K225, Reps!$A:$A, 0)), "Not Found")</f>
        <v>Rahul Verma</v>
      </c>
      <c r="P225" t="str">
        <f t="shared" si="7"/>
        <v>March</v>
      </c>
    </row>
    <row r="226" spans="1:16" x14ac:dyDescent="0.25">
      <c r="A226" t="s">
        <v>472</v>
      </c>
      <c r="B226" s="10">
        <f>IFERROR(IFERROR(INT(VALUE(Raw_Data!B226)), DATE(RIGHT(TRIM(Raw_Data!B226),4), MID(TRIM(Raw_Data!B226),4,2), LEFT(TRIM(Raw_Data!B226),2))), "NA")</f>
        <v>45994</v>
      </c>
      <c r="C226" s="12" t="s">
        <v>214</v>
      </c>
      <c r="D226" s="12" t="str">
        <f>IF(OR(LOWER(TRIM(Raw_Data!D226))="north",LOWER(TRIM(Raw_Data!D226))="n.",LOWER(SUBSTITUTE(TRIM(Raw_Data!D226)," ",""))="north"),"North",IF(OR(LOWER(TRIM(Raw_Data!D226))="south",LOWER(TRIM(Raw_Data!D226))="s."),"South",IF(OR(LOWER(TRIM(Raw_Data!D226))="east",LOWER(TRIM(Raw_Data!D226))="e."),"East",IF(OR(LOWER(TRIM(Raw_Data!D226))="west",LOWER(TRIM(Raw_Data!D226))="w."),"West",IF(OR(LOWER(TRIM(Raw_Data!D226))="central",LOWER(TRIM(Raw_Data!D226))="c."),"Central","Unknown")))))</f>
        <v>Central</v>
      </c>
      <c r="E226" s="12" t="s">
        <v>89</v>
      </c>
      <c r="F226" s="12" t="s">
        <v>90</v>
      </c>
      <c r="G226" s="12" t="s">
        <v>91</v>
      </c>
      <c r="H226" s="12">
        <f>IFERROR(VALUE(Raw_Data!H226),0)</f>
        <v>11</v>
      </c>
      <c r="I226" s="49">
        <f>IFERROR(VALUE(Raw_Data!I226),0)</f>
        <v>0</v>
      </c>
      <c r="J226" s="12">
        <f>IFERROR(VALUE(Raw_Data!J226),0)</f>
        <v>0.1</v>
      </c>
      <c r="K226" s="12" t="s">
        <v>43</v>
      </c>
      <c r="L226" s="12" t="str">
        <f>IF(COUNTIF($A$2:A226, A226)&gt;1, "Duplicate", "Valid")</f>
        <v>Valid</v>
      </c>
      <c r="M226" s="50">
        <f t="shared" si="6"/>
        <v>0</v>
      </c>
      <c r="N226" t="str">
        <f>IF(COUNTIF($A$2:A226, A226)&gt;1, "Duplicate", IF(OR(B226="NA", ISERROR(B226), ISTEXT(B226)), "Invalid Date", IF(OR(C226=0, E226=0, H226=0, I226=0, J226=0), "Missing Data", "OK")))</f>
        <v>Missing Data</v>
      </c>
      <c r="O226" t="str">
        <f>IFERROR(INDEX(Reps!$B:$B, MATCH(K226, Reps!$A:$A, 0)), "Not Found")</f>
        <v>Karan Mehta</v>
      </c>
      <c r="P226" t="str">
        <f t="shared" si="7"/>
        <v>December</v>
      </c>
    </row>
    <row r="227" spans="1:16" x14ac:dyDescent="0.25">
      <c r="A227" t="s">
        <v>473</v>
      </c>
      <c r="B227" s="10">
        <f>IFERROR(IFERROR(INT(VALUE(Raw_Data!B227)), DATE(RIGHT(TRIM(Raw_Data!B227),4), MID(TRIM(Raw_Data!B227),4,2), LEFT(TRIM(Raw_Data!B227),2))), "NA")</f>
        <v>46052</v>
      </c>
      <c r="C227" s="12" t="s">
        <v>151</v>
      </c>
      <c r="D227" s="12" t="str">
        <f>IF(OR(LOWER(TRIM(Raw_Data!D227))="north",LOWER(TRIM(Raw_Data!D227))="n.",LOWER(SUBSTITUTE(TRIM(Raw_Data!D227)," ",""))="north"),"North",IF(OR(LOWER(TRIM(Raw_Data!D227))="south",LOWER(TRIM(Raw_Data!D227))="s."),"South",IF(OR(LOWER(TRIM(Raw_Data!D227))="east",LOWER(TRIM(Raw_Data!D227))="e."),"East",IF(OR(LOWER(TRIM(Raw_Data!D227))="west",LOWER(TRIM(Raw_Data!D227))="w."),"West",IF(OR(LOWER(TRIM(Raw_Data!D227))="central",LOWER(TRIM(Raw_Data!D227))="c."),"Central","Unknown")))))</f>
        <v>West</v>
      </c>
      <c r="E227" s="12" t="s">
        <v>77</v>
      </c>
      <c r="F227" s="12" t="s">
        <v>78</v>
      </c>
      <c r="G227" s="12" t="s">
        <v>57</v>
      </c>
      <c r="H227" s="12">
        <f>IFERROR(VALUE(Raw_Data!H227),0)</f>
        <v>1</v>
      </c>
      <c r="I227" s="49">
        <f>IFERROR(VALUE(Raw_Data!I227),0)</f>
        <v>3500</v>
      </c>
      <c r="J227" s="12">
        <f>IFERROR(VALUE(Raw_Data!J227),0)</f>
        <v>0</v>
      </c>
      <c r="K227" s="12" t="s">
        <v>102</v>
      </c>
      <c r="L227" s="12" t="str">
        <f>IF(COUNTIF($A$2:A227, A227)&gt;1, "Duplicate", "Valid")</f>
        <v>Valid</v>
      </c>
      <c r="M227" s="50">
        <f t="shared" si="6"/>
        <v>3500</v>
      </c>
      <c r="N227" t="str">
        <f>IF(COUNTIF($A$2:A227, A227)&gt;1, "Duplicate", IF(OR(B227="NA", ISERROR(B227), ISTEXT(B227)), "Invalid Date", IF(OR(C227=0, E227=0, H227=0, I227=0, J227=0), "Missing Data", "OK")))</f>
        <v>Missing Data</v>
      </c>
      <c r="O227" t="str">
        <f>IFERROR(INDEX(Reps!$B:$B, MATCH(K227, Reps!$A:$A, 0)), "Not Found")</f>
        <v>Anita Sharma</v>
      </c>
      <c r="P227" t="str">
        <f t="shared" si="7"/>
        <v>January</v>
      </c>
    </row>
    <row r="228" spans="1:16" x14ac:dyDescent="0.25">
      <c r="A228" t="s">
        <v>474</v>
      </c>
      <c r="B228" s="10">
        <f>IFERROR(IFERROR(INT(VALUE(Raw_Data!B228)), DATE(RIGHT(TRIM(Raw_Data!B228),4), MID(TRIM(Raw_Data!B228),4,2), LEFT(TRIM(Raw_Data!B228),2))), "NA")</f>
        <v>46141</v>
      </c>
      <c r="C228" s="12" t="s">
        <v>97</v>
      </c>
      <c r="D228" s="12" t="str">
        <f>IF(OR(LOWER(TRIM(Raw_Data!D228))="north",LOWER(TRIM(Raw_Data!D228))="n.",LOWER(SUBSTITUTE(TRIM(Raw_Data!D228)," ",""))="north"),"North",IF(OR(LOWER(TRIM(Raw_Data!D228))="south",LOWER(TRIM(Raw_Data!D228))="s."),"South",IF(OR(LOWER(TRIM(Raw_Data!D228))="east",LOWER(TRIM(Raw_Data!D228))="e."),"East",IF(OR(LOWER(TRIM(Raw_Data!D228))="west",LOWER(TRIM(Raw_Data!D228))="w."),"West",IF(OR(LOWER(TRIM(Raw_Data!D228))="central",LOWER(TRIM(Raw_Data!D228))="c."),"Central","Unknown")))))</f>
        <v>South</v>
      </c>
      <c r="E228" s="12" t="s">
        <v>89</v>
      </c>
      <c r="F228" s="12" t="s">
        <v>90</v>
      </c>
      <c r="G228" s="12" t="s">
        <v>91</v>
      </c>
      <c r="H228" s="12">
        <f>IFERROR(VALUE(Raw_Data!H228),0)</f>
        <v>10</v>
      </c>
      <c r="I228" s="49">
        <f>IFERROR(VALUE(Raw_Data!I228),0)</f>
        <v>2200</v>
      </c>
      <c r="J228" s="12">
        <f>IFERROR(VALUE(Raw_Data!J228),0)</f>
        <v>0.1</v>
      </c>
      <c r="K228" s="12" t="s">
        <v>51</v>
      </c>
      <c r="L228" s="12" t="str">
        <f>IF(COUNTIF($A$2:A228, A228)&gt;1, "Duplicate", "Valid")</f>
        <v>Valid</v>
      </c>
      <c r="M228" s="50">
        <f t="shared" si="6"/>
        <v>19800</v>
      </c>
      <c r="N228" t="str">
        <f>IF(COUNTIF($A$2:A228, A228)&gt;1, "Duplicate", IF(OR(B228="NA", ISERROR(B228), ISTEXT(B228)), "Invalid Date", IF(OR(C228=0, E228=0, H228=0, I228=0, J228=0), "Missing Data", "OK")))</f>
        <v>OK</v>
      </c>
      <c r="O228" t="str">
        <f>IFERROR(INDEX(Reps!$B:$B, MATCH(K228, Reps!$A:$A, 0)), "Not Found")</f>
        <v>Priya Iyer</v>
      </c>
      <c r="P228" t="str">
        <f t="shared" si="7"/>
        <v>April</v>
      </c>
    </row>
    <row r="229" spans="1:16" x14ac:dyDescent="0.25">
      <c r="A229" t="s">
        <v>475</v>
      </c>
      <c r="B229" s="10">
        <f>IFERROR(IFERROR(INT(VALUE(Raw_Data!B229)), DATE(RIGHT(TRIM(Raw_Data!B229),4), MID(TRIM(Raw_Data!B229),4,2), LEFT(TRIM(Raw_Data!B229),2))), "NA")</f>
        <v>46753</v>
      </c>
      <c r="C229" s="12" t="s">
        <v>165</v>
      </c>
      <c r="D229" s="12" t="str">
        <f>IF(OR(LOWER(TRIM(Raw_Data!D229))="north",LOWER(TRIM(Raw_Data!D229))="n.",LOWER(SUBSTITUTE(TRIM(Raw_Data!D229)," ",""))="north"),"North",IF(OR(LOWER(TRIM(Raw_Data!D229))="south",LOWER(TRIM(Raw_Data!D229))="s."),"South",IF(OR(LOWER(TRIM(Raw_Data!D229))="east",LOWER(TRIM(Raw_Data!D229))="e."),"East",IF(OR(LOWER(TRIM(Raw_Data!D229))="west",LOWER(TRIM(Raw_Data!D229))="w."),"West",IF(OR(LOWER(TRIM(Raw_Data!D229))="central",LOWER(TRIM(Raw_Data!D229))="c."),"Central","Unknown")))))</f>
        <v>Central</v>
      </c>
      <c r="E229" s="12" t="s">
        <v>98</v>
      </c>
      <c r="F229" s="12" t="s">
        <v>99</v>
      </c>
      <c r="G229" s="12" t="s">
        <v>50</v>
      </c>
      <c r="H229" s="12">
        <f>IFERROR(VALUE(Raw_Data!H229),0)</f>
        <v>2</v>
      </c>
      <c r="I229" s="49">
        <f>IFERROR(VALUE(Raw_Data!I229),0)</f>
        <v>28000</v>
      </c>
      <c r="J229" s="12">
        <f>IFERROR(VALUE(Raw_Data!J229),0)</f>
        <v>0.1</v>
      </c>
      <c r="K229" s="12" t="s">
        <v>51</v>
      </c>
      <c r="L229" s="12" t="str">
        <f>IF(COUNTIF($A$2:A229, A229)&gt;1, "Duplicate", "Valid")</f>
        <v>Valid</v>
      </c>
      <c r="M229" s="50">
        <f t="shared" si="6"/>
        <v>50400</v>
      </c>
      <c r="N229" t="str">
        <f>IF(COUNTIF($A$2:A229, A229)&gt;1, "Duplicate", IF(OR(B229="NA", ISERROR(B229), ISTEXT(B229)), "Invalid Date", IF(OR(C229=0, E229=0, H229=0, I229=0, J229=0), "Missing Data", "OK")))</f>
        <v>OK</v>
      </c>
      <c r="O229" t="str">
        <f>IFERROR(INDEX(Reps!$B:$B, MATCH(K229, Reps!$A:$A, 0)), "Not Found")</f>
        <v>Priya Iyer</v>
      </c>
      <c r="P229" t="str">
        <f t="shared" si="7"/>
        <v>January</v>
      </c>
    </row>
    <row r="230" spans="1:16" x14ac:dyDescent="0.25">
      <c r="A230" t="s">
        <v>477</v>
      </c>
      <c r="B230" s="10">
        <f>IFERROR(IFERROR(INT(VALUE(Raw_Data!B230)), DATE(RIGHT(TRIM(Raw_Data!B230),4), MID(TRIM(Raw_Data!B230),4,2), LEFT(TRIM(Raw_Data!B230),2))), "NA")</f>
        <v>45986</v>
      </c>
      <c r="C230" s="12" t="s">
        <v>151</v>
      </c>
      <c r="D230" s="12" t="str">
        <f>IF(OR(LOWER(TRIM(Raw_Data!D230))="north",LOWER(TRIM(Raw_Data!D230))="n.",LOWER(SUBSTITUTE(TRIM(Raw_Data!D230)," ",""))="north"),"North",IF(OR(LOWER(TRIM(Raw_Data!D230))="south",LOWER(TRIM(Raw_Data!D230))="s."),"South",IF(OR(LOWER(TRIM(Raw_Data!D230))="east",LOWER(TRIM(Raw_Data!D230))="e."),"East",IF(OR(LOWER(TRIM(Raw_Data!D230))="west",LOWER(TRIM(Raw_Data!D230))="w."),"West",IF(OR(LOWER(TRIM(Raw_Data!D230))="central",LOWER(TRIM(Raw_Data!D230))="c."),"Central","Unknown")))))</f>
        <v>West</v>
      </c>
      <c r="E230" s="12" t="s">
        <v>55</v>
      </c>
      <c r="F230" s="12" t="s">
        <v>56</v>
      </c>
      <c r="G230" s="12" t="s">
        <v>57</v>
      </c>
      <c r="H230" s="12">
        <f>IFERROR(VALUE(Raw_Data!H230),0)</f>
        <v>10</v>
      </c>
      <c r="I230" s="49">
        <f>IFERROR(VALUE(Raw_Data!I230),0)</f>
        <v>65000</v>
      </c>
      <c r="J230" s="12">
        <f>IFERROR(VALUE(Raw_Data!J230),0)</f>
        <v>0.15</v>
      </c>
      <c r="K230" s="12" t="s">
        <v>70</v>
      </c>
      <c r="L230" s="12" t="str">
        <f>IF(COUNTIF($A$2:A230, A230)&gt;1, "Duplicate", "Valid")</f>
        <v>Valid</v>
      </c>
      <c r="M230" s="50">
        <f t="shared" si="6"/>
        <v>552500</v>
      </c>
      <c r="N230" t="str">
        <f>IF(COUNTIF($A$2:A230, A230)&gt;1, "Duplicate", IF(OR(B230="NA", ISERROR(B230), ISTEXT(B230)), "Invalid Date", IF(OR(C230=0, E230=0, H230=0, I230=0, J230=0), "Missing Data", "OK")))</f>
        <v>OK</v>
      </c>
      <c r="O230" t="str">
        <f>IFERROR(INDEX(Reps!$B:$B, MATCH(K230, Reps!$A:$A, 0)), "Not Found")</f>
        <v>Vikram Nair</v>
      </c>
      <c r="P230" t="str">
        <f t="shared" si="7"/>
        <v>November</v>
      </c>
    </row>
    <row r="231" spans="1:16" x14ac:dyDescent="0.25">
      <c r="A231" t="s">
        <v>479</v>
      </c>
      <c r="B231" s="10">
        <f>IFERROR(IFERROR(INT(VALUE(Raw_Data!B231)), DATE(RIGHT(TRIM(Raw_Data!B231),4), MID(TRIM(Raw_Data!B231),4,2), LEFT(TRIM(Raw_Data!B231),2))), "NA")</f>
        <v>46136</v>
      </c>
      <c r="C231" s="12" t="s">
        <v>168</v>
      </c>
      <c r="D231" s="12" t="str">
        <f>IF(OR(LOWER(TRIM(Raw_Data!D231))="north",LOWER(TRIM(Raw_Data!D231))="n.",LOWER(SUBSTITUTE(TRIM(Raw_Data!D231)," ",""))="north"),"North",IF(OR(LOWER(TRIM(Raw_Data!D231))="south",LOWER(TRIM(Raw_Data!D231))="s."),"South",IF(OR(LOWER(TRIM(Raw_Data!D231))="east",LOWER(TRIM(Raw_Data!D231))="e."),"East",IF(OR(LOWER(TRIM(Raw_Data!D231))="west",LOWER(TRIM(Raw_Data!D231))="w."),"West",IF(OR(LOWER(TRIM(Raw_Data!D231))="central",LOWER(TRIM(Raw_Data!D231))="c."),"Central","Unknown")))))</f>
        <v>South</v>
      </c>
      <c r="E231" s="12" t="s">
        <v>40</v>
      </c>
      <c r="F231" s="12" t="s">
        <v>41</v>
      </c>
      <c r="G231" s="12" t="s">
        <v>42</v>
      </c>
      <c r="H231" s="12">
        <f>IFERROR(VALUE(Raw_Data!H231),0)</f>
        <v>2</v>
      </c>
      <c r="I231" s="49">
        <f>IFERROR(VALUE(Raw_Data!I231),0)</f>
        <v>450</v>
      </c>
      <c r="J231" s="12">
        <f>IFERROR(VALUE(Raw_Data!J231),0)</f>
        <v>0</v>
      </c>
      <c r="K231" s="12" t="s">
        <v>70</v>
      </c>
      <c r="L231" s="12" t="str">
        <f>IF(COUNTIF($A$2:A231, A231)&gt;1, "Duplicate", "Valid")</f>
        <v>Valid</v>
      </c>
      <c r="M231" s="50">
        <f t="shared" si="6"/>
        <v>900</v>
      </c>
      <c r="N231" t="str">
        <f>IF(COUNTIF($A$2:A231, A231)&gt;1, "Duplicate", IF(OR(B231="NA", ISERROR(B231), ISTEXT(B231)), "Invalid Date", IF(OR(C231=0, E231=0, H231=0, I231=0, J231=0), "Missing Data", "OK")))</f>
        <v>Missing Data</v>
      </c>
      <c r="O231" t="str">
        <f>IFERROR(INDEX(Reps!$B:$B, MATCH(K231, Reps!$A:$A, 0)), "Not Found")</f>
        <v>Vikram Nair</v>
      </c>
      <c r="P231" t="str">
        <f t="shared" si="7"/>
        <v>April</v>
      </c>
    </row>
    <row r="232" spans="1:16" x14ac:dyDescent="0.25">
      <c r="A232" t="s">
        <v>481</v>
      </c>
      <c r="B232" s="10">
        <f>IFERROR(IFERROR(INT(VALUE(Raw_Data!B232)), DATE(RIGHT(TRIM(Raw_Data!B232),4), MID(TRIM(Raw_Data!B232),4,2), LEFT(TRIM(Raw_Data!B232),2))), "NA")</f>
        <v>46064</v>
      </c>
      <c r="C232" s="12" t="s">
        <v>109</v>
      </c>
      <c r="D232" s="12" t="str">
        <f>IF(OR(LOWER(TRIM(Raw_Data!D232))="north",LOWER(TRIM(Raw_Data!D232))="n.",LOWER(SUBSTITUTE(TRIM(Raw_Data!D232)," ",""))="north"),"North",IF(OR(LOWER(TRIM(Raw_Data!D232))="south",LOWER(TRIM(Raw_Data!D232))="s."),"South",IF(OR(LOWER(TRIM(Raw_Data!D232))="east",LOWER(TRIM(Raw_Data!D232))="e."),"East",IF(OR(LOWER(TRIM(Raw_Data!D232))="west",LOWER(TRIM(Raw_Data!D232))="w."),"West",IF(OR(LOWER(TRIM(Raw_Data!D232))="central",LOWER(TRIM(Raw_Data!D232))="c."),"Central","Unknown")))))</f>
        <v>North</v>
      </c>
      <c r="E232" s="12" t="s">
        <v>48</v>
      </c>
      <c r="F232" s="12" t="s">
        <v>49</v>
      </c>
      <c r="G232" s="12" t="s">
        <v>50</v>
      </c>
      <c r="H232" s="12">
        <f>IFERROR(VALUE(Raw_Data!H232),0)</f>
        <v>12</v>
      </c>
      <c r="I232" s="49">
        <f>IFERROR(VALUE(Raw_Data!I232),0)</f>
        <v>12000</v>
      </c>
      <c r="J232" s="12">
        <f>IFERROR(VALUE(Raw_Data!J232),0)</f>
        <v>0.25</v>
      </c>
      <c r="K232" s="12" t="s">
        <v>79</v>
      </c>
      <c r="L232" s="12" t="str">
        <f>IF(COUNTIF($A$2:A232, A232)&gt;1, "Duplicate", "Valid")</f>
        <v>Valid</v>
      </c>
      <c r="M232" s="50">
        <f t="shared" si="6"/>
        <v>108000</v>
      </c>
      <c r="N232" t="str">
        <f>IF(COUNTIF($A$2:A232, A232)&gt;1, "Duplicate", IF(OR(B232="NA", ISERROR(B232), ISTEXT(B232)), "Invalid Date", IF(OR(C232=0, E232=0, H232=0, I232=0, J232=0), "Missing Data", "OK")))</f>
        <v>OK</v>
      </c>
      <c r="O232" t="str">
        <f>IFERROR(INDEX(Reps!$B:$B, MATCH(K232, Reps!$A:$A, 0)), "Not Found")</f>
        <v>Sneha Reddy</v>
      </c>
      <c r="P232" t="str">
        <f t="shared" si="7"/>
        <v>February</v>
      </c>
    </row>
    <row r="233" spans="1:16" x14ac:dyDescent="0.25">
      <c r="A233" t="s">
        <v>483</v>
      </c>
      <c r="B233" s="10">
        <f>IFERROR(IFERROR(INT(VALUE(Raw_Data!B233)), DATE(RIGHT(TRIM(Raw_Data!B233),4), MID(TRIM(Raw_Data!B233),4,2), LEFT(TRIM(Raw_Data!B233),2))), "NA")</f>
        <v>46049</v>
      </c>
      <c r="C233" s="12" t="s">
        <v>144</v>
      </c>
      <c r="D233" s="12" t="str">
        <f>IF(OR(LOWER(TRIM(Raw_Data!D233))="north",LOWER(TRIM(Raw_Data!D233))="n.",LOWER(SUBSTITUTE(TRIM(Raw_Data!D233)," ",""))="north"),"North",IF(OR(LOWER(TRIM(Raw_Data!D233))="south",LOWER(TRIM(Raw_Data!D233))="s."),"South",IF(OR(LOWER(TRIM(Raw_Data!D233))="east",LOWER(TRIM(Raw_Data!D233))="e."),"East",IF(OR(LOWER(TRIM(Raw_Data!D233))="west",LOWER(TRIM(Raw_Data!D233))="w."),"West",IF(OR(LOWER(TRIM(Raw_Data!D233))="central",LOWER(TRIM(Raw_Data!D233))="c."),"Central","Unknown")))))</f>
        <v>West</v>
      </c>
      <c r="E233" s="12" t="s">
        <v>127</v>
      </c>
      <c r="F233" s="12" t="s">
        <v>128</v>
      </c>
      <c r="G233" s="12" t="s">
        <v>57</v>
      </c>
      <c r="H233" s="12">
        <f>IFERROR(VALUE(Raw_Data!H233),0)</f>
        <v>7</v>
      </c>
      <c r="I233" s="49">
        <f>IFERROR(VALUE(Raw_Data!I233),0)</f>
        <v>4500</v>
      </c>
      <c r="J233" s="12">
        <f>IFERROR(VALUE(Raw_Data!J233),0)</f>
        <v>0.1</v>
      </c>
      <c r="K233" s="12" t="s">
        <v>43</v>
      </c>
      <c r="L233" s="12" t="str">
        <f>IF(COUNTIF($A$2:A233, A233)&gt;1, "Duplicate", "Valid")</f>
        <v>Valid</v>
      </c>
      <c r="M233" s="50">
        <f t="shared" si="6"/>
        <v>28350</v>
      </c>
      <c r="N233" t="str">
        <f>IF(COUNTIF($A$2:A233, A233)&gt;1, "Duplicate", IF(OR(B233="NA", ISERROR(B233), ISTEXT(B233)), "Invalid Date", IF(OR(C233=0, E233=0, H233=0, I233=0, J233=0), "Missing Data", "OK")))</f>
        <v>OK</v>
      </c>
      <c r="O233" t="str">
        <f>IFERROR(INDEX(Reps!$B:$B, MATCH(K233, Reps!$A:$A, 0)), "Not Found")</f>
        <v>Karan Mehta</v>
      </c>
      <c r="P233" t="str">
        <f t="shared" si="7"/>
        <v>January</v>
      </c>
    </row>
    <row r="234" spans="1:16" x14ac:dyDescent="0.25">
      <c r="A234" t="s">
        <v>485</v>
      </c>
      <c r="B234" s="10">
        <f>IFERROR(IFERROR(INT(VALUE(Raw_Data!B234)), DATE(RIGHT(TRIM(Raw_Data!B234),4), MID(TRIM(Raw_Data!B234),4,2), LEFT(TRIM(Raw_Data!B234),2))), "NA")</f>
        <v>46204</v>
      </c>
      <c r="C234" s="12" t="s">
        <v>73</v>
      </c>
      <c r="D234" s="12" t="str">
        <f>IF(OR(LOWER(TRIM(Raw_Data!D234))="north",LOWER(TRIM(Raw_Data!D234))="n.",LOWER(SUBSTITUTE(TRIM(Raw_Data!D234)," ",""))="north"),"North",IF(OR(LOWER(TRIM(Raw_Data!D234))="south",LOWER(TRIM(Raw_Data!D234))="s."),"South",IF(OR(LOWER(TRIM(Raw_Data!D234))="east",LOWER(TRIM(Raw_Data!D234))="e."),"East",IF(OR(LOWER(TRIM(Raw_Data!D234))="west",LOWER(TRIM(Raw_Data!D234))="w."),"West",IF(OR(LOWER(TRIM(Raw_Data!D234))="central",LOWER(TRIM(Raw_Data!D234))="c."),"Central","Unknown")))))</f>
        <v>North</v>
      </c>
      <c r="E234" s="12" t="s">
        <v>120</v>
      </c>
      <c r="F234" s="12" t="s">
        <v>121</v>
      </c>
      <c r="G234" s="12" t="s">
        <v>42</v>
      </c>
      <c r="H234" s="12">
        <f>IFERROR(VALUE(Raw_Data!H234),0)</f>
        <v>11</v>
      </c>
      <c r="I234" s="49">
        <f>IFERROR(VALUE(Raw_Data!I234),0)</f>
        <v>250</v>
      </c>
      <c r="J234" s="12">
        <f>IFERROR(VALUE(Raw_Data!J234),0)</f>
        <v>0.1</v>
      </c>
      <c r="K234" s="12" t="s">
        <v>79</v>
      </c>
      <c r="L234" s="12" t="str">
        <f>IF(COUNTIF($A$2:A234, A234)&gt;1, "Duplicate", "Valid")</f>
        <v>Valid</v>
      </c>
      <c r="M234" s="50">
        <f t="shared" si="6"/>
        <v>2475</v>
      </c>
      <c r="N234" t="str">
        <f>IF(COUNTIF($A$2:A234, A234)&gt;1, "Duplicate", IF(OR(B234="NA", ISERROR(B234), ISTEXT(B234)), "Invalid Date", IF(OR(C234=0, E234=0, H234=0, I234=0, J234=0), "Missing Data", "OK")))</f>
        <v>OK</v>
      </c>
      <c r="O234" t="str">
        <f>IFERROR(INDEX(Reps!$B:$B, MATCH(K234, Reps!$A:$A, 0)), "Not Found")</f>
        <v>Sneha Reddy</v>
      </c>
      <c r="P234" t="str">
        <f t="shared" si="7"/>
        <v>July</v>
      </c>
    </row>
    <row r="235" spans="1:16" x14ac:dyDescent="0.25">
      <c r="A235" t="s">
        <v>220</v>
      </c>
      <c r="B235" s="10">
        <f>IFERROR(IFERROR(INT(VALUE(Raw_Data!B235)), DATE(RIGHT(TRIM(Raw_Data!B235),4), MID(TRIM(Raw_Data!B235),4,2), LEFT(TRIM(Raw_Data!B235),2))), "NA")</f>
        <v>46600</v>
      </c>
      <c r="C235" s="12" t="s">
        <v>148</v>
      </c>
      <c r="D235" s="12" t="str">
        <f>IF(OR(LOWER(TRIM(Raw_Data!D235))="north",LOWER(TRIM(Raw_Data!D235))="n.",LOWER(SUBSTITUTE(TRIM(Raw_Data!D235)," ",""))="north"),"North",IF(OR(LOWER(TRIM(Raw_Data!D235))="south",LOWER(TRIM(Raw_Data!D235))="s."),"South",IF(OR(LOWER(TRIM(Raw_Data!D235))="east",LOWER(TRIM(Raw_Data!D235))="e."),"East",IF(OR(LOWER(TRIM(Raw_Data!D235))="west",LOWER(TRIM(Raw_Data!D235))="w."),"West",IF(OR(LOWER(TRIM(Raw_Data!D235))="central",LOWER(TRIM(Raw_Data!D235))="c."),"Central","Unknown")))))</f>
        <v>East</v>
      </c>
      <c r="E235" s="12" t="s">
        <v>77</v>
      </c>
      <c r="F235" s="12" t="s">
        <v>78</v>
      </c>
      <c r="G235" s="12" t="s">
        <v>57</v>
      </c>
      <c r="H235" s="12">
        <f>IFERROR(VALUE(Raw_Data!H235),0)</f>
        <v>3</v>
      </c>
      <c r="I235" s="49">
        <f>IFERROR(VALUE(Raw_Data!I235),0)</f>
        <v>3500</v>
      </c>
      <c r="J235" s="12">
        <f>IFERROR(VALUE(Raw_Data!J235),0)</f>
        <v>0.15</v>
      </c>
      <c r="K235" s="12" t="s">
        <v>70</v>
      </c>
      <c r="L235" s="12" t="str">
        <f>IF(COUNTIF($A$2:A235, A235)&gt;1, "Duplicate", "Valid")</f>
        <v>Duplicate</v>
      </c>
      <c r="M235" s="50">
        <f t="shared" si="6"/>
        <v>8925</v>
      </c>
      <c r="N235" t="str">
        <f>IF(COUNTIF($A$2:A235, A235)&gt;1, "Duplicate", IF(OR(B235="NA", ISERROR(B235), ISTEXT(B235)), "Invalid Date", IF(OR(C235=0, E235=0, H235=0, I235=0, J235=0), "Missing Data", "OK")))</f>
        <v>Duplicate</v>
      </c>
      <c r="O235" t="str">
        <f>IFERROR(INDEX(Reps!$B:$B, MATCH(K235, Reps!$A:$A, 0)), "Not Found")</f>
        <v>Vikram Nair</v>
      </c>
      <c r="P235" t="str">
        <f t="shared" si="7"/>
        <v>August</v>
      </c>
    </row>
    <row r="236" spans="1:16" x14ac:dyDescent="0.25">
      <c r="A236" t="s">
        <v>487</v>
      </c>
      <c r="B236" s="10">
        <f>IFERROR(IFERROR(INT(VALUE(Raw_Data!B236)), DATE(RIGHT(TRIM(Raw_Data!B236),4), MID(TRIM(Raw_Data!B236),4,2), LEFT(TRIM(Raw_Data!B236),2))), "NA")</f>
        <v>46039</v>
      </c>
      <c r="C236" s="12" t="s">
        <v>53</v>
      </c>
      <c r="D236" s="12" t="str">
        <f>IF(OR(LOWER(TRIM(Raw_Data!D236))="north",LOWER(TRIM(Raw_Data!D236))="n.",LOWER(SUBSTITUTE(TRIM(Raw_Data!D236)," ",""))="north"),"North",IF(OR(LOWER(TRIM(Raw_Data!D236))="south",LOWER(TRIM(Raw_Data!D236))="s."),"South",IF(OR(LOWER(TRIM(Raw_Data!D236))="east",LOWER(TRIM(Raw_Data!D236))="e."),"East",IF(OR(LOWER(TRIM(Raw_Data!D236))="west",LOWER(TRIM(Raw_Data!D236))="w."),"West",IF(OR(LOWER(TRIM(Raw_Data!D236))="central",LOWER(TRIM(Raw_Data!D236))="c."),"Central","Unknown")))))</f>
        <v>East</v>
      </c>
      <c r="E236" s="12" t="s">
        <v>120</v>
      </c>
      <c r="F236" s="12" t="s">
        <v>121</v>
      </c>
      <c r="G236" s="12" t="s">
        <v>42</v>
      </c>
      <c r="H236" s="12">
        <f>IFERROR(VALUE(Raw_Data!H236),0)</f>
        <v>8</v>
      </c>
      <c r="I236" s="49">
        <f>IFERROR(VALUE(Raw_Data!I236),0)</f>
        <v>250</v>
      </c>
      <c r="J236" s="12">
        <f>IFERROR(VALUE(Raw_Data!J236),0)</f>
        <v>0.2</v>
      </c>
      <c r="K236" s="12" t="s">
        <v>43</v>
      </c>
      <c r="L236" s="12" t="str">
        <f>IF(COUNTIF($A$2:A236, A236)&gt;1, "Duplicate", "Valid")</f>
        <v>Valid</v>
      </c>
      <c r="M236" s="50">
        <f t="shared" si="6"/>
        <v>1600</v>
      </c>
      <c r="N236" t="str">
        <f>IF(COUNTIF($A$2:A236, A236)&gt;1, "Duplicate", IF(OR(B236="NA", ISERROR(B236), ISTEXT(B236)), "Invalid Date", IF(OR(C236=0, E236=0, H236=0, I236=0, J236=0), "Missing Data", "OK")))</f>
        <v>OK</v>
      </c>
      <c r="O236" t="str">
        <f>IFERROR(INDEX(Reps!$B:$B, MATCH(K236, Reps!$A:$A, 0)), "Not Found")</f>
        <v>Karan Mehta</v>
      </c>
      <c r="P236" t="str">
        <f t="shared" si="7"/>
        <v>January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workbookViewId="0">
      <selection activeCell="L10" sqref="L10"/>
    </sheetView>
  </sheetViews>
  <sheetFormatPr defaultRowHeight="15" x14ac:dyDescent="0.25"/>
  <cols>
    <col min="1" max="1" width="22.85546875" bestFit="1" customWidth="1"/>
    <col min="2" max="2" width="14.28515625" bestFit="1" customWidth="1"/>
    <col min="3" max="3" width="17.85546875" bestFit="1" customWidth="1"/>
    <col min="4" max="4" width="19.7109375" bestFit="1" customWidth="1"/>
    <col min="5" max="5" width="17.7109375" bestFit="1" customWidth="1"/>
    <col min="6" max="6" width="9.28515625" bestFit="1" customWidth="1"/>
    <col min="7" max="7" width="8.85546875" bestFit="1" customWidth="1"/>
    <col min="11" max="11" width="17.7109375" bestFit="1" customWidth="1"/>
    <col min="12" max="12" width="20.7109375" bestFit="1" customWidth="1"/>
  </cols>
  <sheetData>
    <row r="1" spans="1:12" x14ac:dyDescent="0.25">
      <c r="A1" s="15" t="s">
        <v>510</v>
      </c>
      <c r="K1" s="18" t="s">
        <v>511</v>
      </c>
      <c r="L1" s="18" t="s">
        <v>512</v>
      </c>
    </row>
    <row r="2" spans="1:12" x14ac:dyDescent="0.25">
      <c r="A2" s="14" t="s">
        <v>29</v>
      </c>
      <c r="B2" s="14" t="s">
        <v>2</v>
      </c>
      <c r="C2" s="14" t="s">
        <v>513</v>
      </c>
      <c r="D2" s="14" t="s">
        <v>514</v>
      </c>
      <c r="E2" s="14" t="s">
        <v>511</v>
      </c>
      <c r="K2" t="str">
        <f>"CUST-"&amp;TEXT(999+ROWS($K$2:K2),"0000")</f>
        <v>CUST-1000</v>
      </c>
      <c r="L2" s="45">
        <f>SUMIFS(Cleaned_Data!$M$2:$M$236,Cleaned_Data!$C$2:$C$236,K2,Cleaned_Data!$N$2:$N$236,"OK")</f>
        <v>440325</v>
      </c>
    </row>
    <row r="3" spans="1:12" x14ac:dyDescent="0.25">
      <c r="A3" t="s">
        <v>83</v>
      </c>
      <c r="B3">
        <f>COUNTIFS(Cleaned_Data!$D:$D, "West", Cleaned_Data!$N:$N, "OK")</f>
        <v>25</v>
      </c>
      <c r="C3" s="44">
        <f>SUMIFS(Cleaned_Data!$M:$M,Cleaned_Data!$D:$D,"West",Cleaned_Data!$N:$N,"OK")</f>
        <v>3907112.5</v>
      </c>
      <c r="D3" s="44">
        <f>IFERROR(C3/B3,0)</f>
        <v>156284.5</v>
      </c>
      <c r="E3">
        <f t="array" ref="E3">SUM(--(FREQUENCY(IF((Cleaned_Data!$D$2:$D$236="West")*(Cleaned_Data!$N$2:$N$236="OK"), MATCH(Cleaned_Data!$C$2:$C$236, Cleaned_Data!$C$2:$C$236, 0)), ROW(Cleaned_Data!$C$2:$C$236)-ROW(Cleaned_Data!$C$2)+1)&gt;0))</f>
        <v>21</v>
      </c>
      <c r="K3" t="str">
        <f>"CUST-"&amp;TEXT(999+ROWS($K$2:K3),"0000")</f>
        <v>CUST-1001</v>
      </c>
      <c r="L3" s="45">
        <f>SUMIFS(Cleaned_Data!$M$2:$M$236,Cleaned_Data!$C$2:$C$236,K3,Cleaned_Data!$N$2:$N$236,"OK")</f>
        <v>513950</v>
      </c>
    </row>
    <row r="4" spans="1:12" x14ac:dyDescent="0.25">
      <c r="A4" t="s">
        <v>266</v>
      </c>
      <c r="B4">
        <f>COUNTIFS(Cleaned_Data!$D:$D, "Central", Cleaned_Data!$N:$N, "OK")</f>
        <v>26</v>
      </c>
      <c r="C4" s="44">
        <f>SUMIFS(Cleaned_Data!$M:$M,Cleaned_Data!$D:$D,"Central",Cleaned_Data!$N:$N,"OK")</f>
        <v>2588527.5</v>
      </c>
      <c r="D4" s="44">
        <f>IFERROR(C4/B4,0)</f>
        <v>99558.75</v>
      </c>
      <c r="E4">
        <f t="array" ref="E4">SUM(--(FREQUENCY(IF((Cleaned_Data!$D$2:$D$236="Central")*(Cleaned_Data!$N$2:$N$236="OK"), MATCH(Cleaned_Data!$C$2:$C$236, Cleaned_Data!$C$2:$C$236, 0)), ROW(Cleaned_Data!$C$2:$C$236)-ROW(Cleaned_Data!$C$2)+1)&gt;0))</f>
        <v>17</v>
      </c>
      <c r="K4" t="str">
        <f>"CUST-"&amp;TEXT(999+ROWS($K$2:K4),"0000")</f>
        <v>CUST-1002</v>
      </c>
      <c r="L4" s="45">
        <f>SUMIFS(Cleaned_Data!$M$2:$M$236,Cleaned_Data!$C$2:$C$236,K4,Cleaned_Data!$N$2:$N$236,"OK")</f>
        <v>364000</v>
      </c>
    </row>
    <row r="5" spans="1:12" x14ac:dyDescent="0.25">
      <c r="A5" t="s">
        <v>5</v>
      </c>
      <c r="B5">
        <f>COUNTIFS(Cleaned_Data!$D:$D, "North", Cleaned_Data!$N:$N, "OK")</f>
        <v>39</v>
      </c>
      <c r="C5" s="44">
        <f>SUMIFS(Cleaned_Data!$M:$M,Cleaned_Data!$D:$D,"North",Cleaned_Data!$N:$N,"OK")</f>
        <v>3182560</v>
      </c>
      <c r="D5" s="44">
        <f>IFERROR(C5/B5,0)</f>
        <v>81604.102564102563</v>
      </c>
      <c r="E5">
        <f t="array" ref="E5">SUM(--(FREQUENCY(IF((Cleaned_Data!$D$2:$D$236="North")*(Cleaned_Data!$N$2:$N$236="OK"), MATCH(Cleaned_Data!$C$2:$C$236, Cleaned_Data!$C$2:$C$236, 0)), ROW(Cleaned_Data!$C$2:$C$236)-ROW(Cleaned_Data!$C$2)+1)&gt;0))</f>
        <v>26</v>
      </c>
      <c r="K5" t="str">
        <f>"CUST-"&amp;TEXT(999+ROWS($K$2:K5),"0000")</f>
        <v>CUST-1003</v>
      </c>
      <c r="L5" s="45">
        <f>SUMIFS(Cleaned_Data!$M$2:$M$236,Cleaned_Data!$C$2:$C$236,K5,Cleaned_Data!$N$2:$N$236,"OK")</f>
        <v>338190</v>
      </c>
    </row>
    <row r="6" spans="1:12" x14ac:dyDescent="0.25">
      <c r="A6" t="s">
        <v>69</v>
      </c>
      <c r="B6">
        <f>COUNTIFS(Cleaned_Data!$D:$D, "East", Cleaned_Data!$N:$N, "OK")</f>
        <v>35</v>
      </c>
      <c r="C6" s="44">
        <f>SUMIFS(Cleaned_Data!$M:$M,Cleaned_Data!$D:$D,"East",Cleaned_Data!$N:$N,"OK")</f>
        <v>2467205</v>
      </c>
      <c r="D6" s="44">
        <f>IFERROR(C6/B6,0)</f>
        <v>70491.571428571435</v>
      </c>
      <c r="E6">
        <f t="array" ref="E6">SUM(--(FREQUENCY(IF((Cleaned_Data!$D$2:$D$236="East")*(Cleaned_Data!$N$2:$N$236="OK"), MATCH(Cleaned_Data!$C$2:$C$236, Cleaned_Data!$C$2:$C$236, 0)), ROW(Cleaned_Data!$C$2:$C$236)-ROW(Cleaned_Data!$C$2)+1)&gt;0))</f>
        <v>23</v>
      </c>
      <c r="K6" t="str">
        <f>"CUST-"&amp;TEXT(999+ROWS($K$2:K6),"0000")</f>
        <v>CUST-1004</v>
      </c>
      <c r="L6" s="45">
        <f>SUMIFS(Cleaned_Data!$M$2:$M$236,Cleaned_Data!$C$2:$C$236,K6,Cleaned_Data!$N$2:$N$236,"OK")</f>
        <v>368400</v>
      </c>
    </row>
    <row r="7" spans="1:12" x14ac:dyDescent="0.25">
      <c r="A7" t="s">
        <v>296</v>
      </c>
      <c r="B7">
        <f>COUNTIFS(Cleaned_Data!$D:$D, "South", Cleaned_Data!$N:$N, "OK")</f>
        <v>24</v>
      </c>
      <c r="C7" s="44">
        <f>SUMIFS(Cleaned_Data!$M:$M,Cleaned_Data!$D:$D,"South",Cleaned_Data!$N:$N,"OK")</f>
        <v>1990527.5</v>
      </c>
      <c r="D7" s="44">
        <f>IFERROR(C7/B7,0)</f>
        <v>82938.645833333328</v>
      </c>
      <c r="E7">
        <f t="array" ref="E7">SUM(--(FREQUENCY(IF((Cleaned_Data!$D$2:$D$236="South")*(Cleaned_Data!$N$2:$N$236="OK"), MATCH(Cleaned_Data!$C$2:$C$236, Cleaned_Data!$C$2:$C$236, 0)), ROW(Cleaned_Data!$C$2:$C$236)-ROW(Cleaned_Data!$C$2)+1)&gt;0))</f>
        <v>20</v>
      </c>
      <c r="K7" t="str">
        <f>"CUST-"&amp;TEXT(999+ROWS($K$2:K7),"0000")</f>
        <v>CUST-1005</v>
      </c>
      <c r="L7" s="45">
        <f>SUMIFS(Cleaned_Data!$M$2:$M$236,Cleaned_Data!$C$2:$C$236,K7,Cleaned_Data!$N$2:$N$236,"OK")</f>
        <v>212477.5</v>
      </c>
    </row>
    <row r="8" spans="1:12" x14ac:dyDescent="0.25">
      <c r="K8" t="str">
        <f>"CUST-"&amp;TEXT(999+ROWS($K$2:K8),"0000")</f>
        <v>CUST-1006</v>
      </c>
      <c r="L8" s="45">
        <f>SUMIFS(Cleaned_Data!$M$2:$M$236,Cleaned_Data!$C$2:$C$236,K8,Cleaned_Data!$N$2:$N$236,"OK")</f>
        <v>65625</v>
      </c>
    </row>
    <row r="9" spans="1:12" x14ac:dyDescent="0.25">
      <c r="K9" t="str">
        <f>"CUST-"&amp;TEXT(999+ROWS($K$2:K9),"0000")</f>
        <v>CUST-1007</v>
      </c>
      <c r="L9" s="45">
        <f>SUMIFS(Cleaned_Data!$M$2:$M$236,Cleaned_Data!$C$2:$C$236,K9,Cleaned_Data!$N$2:$N$236,"OK")</f>
        <v>189600</v>
      </c>
    </row>
    <row r="10" spans="1:12" x14ac:dyDescent="0.25">
      <c r="A10" s="16" t="s">
        <v>515</v>
      </c>
      <c r="K10" t="str">
        <f>"CUST-"&amp;TEXT(999+ROWS($K$2:K10),"0000")</f>
        <v>CUST-1008</v>
      </c>
      <c r="L10" s="45">
        <f>SUMIFS(Cleaned_Data!$M$2:$M$236,Cleaned_Data!$C$2:$C$236,K10,Cleaned_Data!$N$2:$N$236,"OK")</f>
        <v>770080</v>
      </c>
    </row>
    <row r="11" spans="1:12" x14ac:dyDescent="0.25">
      <c r="A11" s="17" t="s">
        <v>6</v>
      </c>
      <c r="B11" s="17" t="s">
        <v>7</v>
      </c>
      <c r="C11" s="17" t="s">
        <v>516</v>
      </c>
      <c r="D11" s="17" t="s">
        <v>517</v>
      </c>
      <c r="K11" t="str">
        <f>"CUST-"&amp;TEXT(999+ROWS($K$2:K11),"0000")</f>
        <v>CUST-1009</v>
      </c>
      <c r="L11" s="45">
        <f>SUMIFS(Cleaned_Data!$M$2:$M$236,Cleaned_Data!$C$2:$C$236,K11,Cleaned_Data!$N$2:$N$236,"OK")</f>
        <v>2135</v>
      </c>
    </row>
    <row r="12" spans="1:12" x14ac:dyDescent="0.25">
      <c r="A12" t="s">
        <v>8</v>
      </c>
      <c r="B12" s="46">
        <f>SUMIFS(Cleaned_Data!$M:$M, Cleaned_Data!$B:$B, "&gt;=1/11/2025", Cleaned_Data!$B:$B, "&lt;=30/11/2025", Cleaned_Data!$N:$N, "OK")</f>
        <v>3190447.5</v>
      </c>
      <c r="C12" s="47"/>
      <c r="K12" t="str">
        <f>"CUST-"&amp;TEXT(999+ROWS($K$2:K12),"0000")</f>
        <v>CUST-1010</v>
      </c>
      <c r="L12" s="45">
        <f>SUMIFS(Cleaned_Data!$M$2:$M$236,Cleaned_Data!$C$2:$C$236,K12,Cleaned_Data!$N$2:$N$236,"OK")</f>
        <v>18150</v>
      </c>
    </row>
    <row r="13" spans="1:12" x14ac:dyDescent="0.25">
      <c r="A13" t="s">
        <v>9</v>
      </c>
      <c r="B13" s="46">
        <f>SUMIFS(Cleaned_Data!$M:$M, Cleaned_Data!$B:$B, "&gt;=1/12/2025", Cleaned_Data!$B:$B, "&lt;=31/12/2025", Cleaned_Data!$N:$N, "OK")</f>
        <v>1422227.5</v>
      </c>
      <c r="C13" s="46">
        <f>IFERROR(B13-B12,"")</f>
        <v>-1768220</v>
      </c>
      <c r="D13" s="27">
        <f>IFERROR(C13/B12,"")</f>
        <v>-0.55422319282796539</v>
      </c>
      <c r="K13" t="str">
        <f>"CUST-"&amp;TEXT(999+ROWS($K$2:K13),"0000")</f>
        <v>CUST-1011</v>
      </c>
      <c r="L13" s="45">
        <f>SUMIFS(Cleaned_Data!$M$2:$M$236,Cleaned_Data!$C$2:$C$236,K13,Cleaned_Data!$N$2:$N$236,"OK")</f>
        <v>0</v>
      </c>
    </row>
    <row r="14" spans="1:12" x14ac:dyDescent="0.25">
      <c r="A14" t="s">
        <v>10</v>
      </c>
      <c r="B14" s="46">
        <f>SUMIFS(Cleaned_Data!$M:$M, Cleaned_Data!$B:$B, "&gt;=1/1/2026", Cleaned_Data!$B:$B, "&lt;=31/1/2026", Cleaned_Data!$N:$N, "OK")</f>
        <v>1703352.5</v>
      </c>
      <c r="C14" s="46">
        <f>IFERROR(B14-B13,"")</f>
        <v>281125</v>
      </c>
      <c r="D14" s="28">
        <f>IFERROR(C14/B13,"")</f>
        <v>0.1976652821014922</v>
      </c>
      <c r="K14" t="str">
        <f>"CUST-"&amp;TEXT(999+ROWS($K$2:K14),"0000")</f>
        <v>CUST-1012</v>
      </c>
      <c r="L14" s="45">
        <f>SUMIFS(Cleaned_Data!$M$2:$M$236,Cleaned_Data!$C$2:$C$236,K14,Cleaned_Data!$N$2:$N$236,"OK")</f>
        <v>55100</v>
      </c>
    </row>
    <row r="15" spans="1:12" x14ac:dyDescent="0.25">
      <c r="A15" t="s">
        <v>11</v>
      </c>
      <c r="B15" s="46">
        <f>SUMIFS(Cleaned_Data!$M:$M, Cleaned_Data!$B:$B, "&gt;=1/2/2026", Cleaned_Data!$B:$B, "&lt;=28/2/2026", Cleaned_Data!$N:$N, "OK")</f>
        <v>1460880</v>
      </c>
      <c r="C15" s="46">
        <f>IFERROR(B15-B14,"")</f>
        <v>-242472.5</v>
      </c>
      <c r="D15" s="27">
        <f>IFERROR(C15/B14,"")</f>
        <v>-0.14235015946493754</v>
      </c>
      <c r="K15" t="str">
        <f>"CUST-"&amp;TEXT(999+ROWS($K$2:K15),"0000")</f>
        <v>CUST-1013</v>
      </c>
      <c r="L15" s="45">
        <f>SUMIFS(Cleaned_Data!$M$2:$M$236,Cleaned_Data!$C$2:$C$236,K15,Cleaned_Data!$N$2:$N$236,"OK")</f>
        <v>185625</v>
      </c>
    </row>
    <row r="16" spans="1:12" x14ac:dyDescent="0.25">
      <c r="A16" t="s">
        <v>12</v>
      </c>
      <c r="B16" s="46">
        <f>SUMIFS(Cleaned_Data!$M:$M, Cleaned_Data!$B:$B, "&gt;=1/3/2026", Cleaned_Data!$B:$B, "&lt;=31/3/2026", Cleaned_Data!$N:$N, "OK")</f>
        <v>1901385</v>
      </c>
      <c r="C16" s="46">
        <f>IFERROR(B16-B15,"")</f>
        <v>440505</v>
      </c>
      <c r="D16" s="28">
        <f>IFERROR(C16/B15,"")</f>
        <v>0.30153400689995069</v>
      </c>
      <c r="K16" t="str">
        <f>"CUST-"&amp;TEXT(999+ROWS($K$2:K16),"0000")</f>
        <v>CUST-1014</v>
      </c>
      <c r="L16" s="45">
        <f>SUMIFS(Cleaned_Data!$M$2:$M$236,Cleaned_Data!$C$2:$C$236,K16,Cleaned_Data!$N$2:$N$236,"OK")</f>
        <v>1044850</v>
      </c>
    </row>
    <row r="17" spans="1:12" x14ac:dyDescent="0.25">
      <c r="A17" t="s">
        <v>13</v>
      </c>
      <c r="B17" s="46">
        <f>SUMIFS(Cleaned_Data!$M:$M, Cleaned_Data!$B:$B, "&gt;=1/4/2026", Cleaned_Data!$B:$B, "&lt;=30/4/2026", Cleaned_Data!$N:$N, "OK")</f>
        <v>3630122.5</v>
      </c>
      <c r="C17" s="46">
        <f>IFERROR(B17-B16,"")</f>
        <v>1728737.5</v>
      </c>
      <c r="D17" s="28">
        <f>IFERROR(C17/B16,"")</f>
        <v>0.90919908382573755</v>
      </c>
      <c r="K17" t="str">
        <f>"CUST-"&amp;TEXT(999+ROWS($K$2:K17),"0000")</f>
        <v>CUST-1015</v>
      </c>
      <c r="L17" s="45">
        <f>SUMIFS(Cleaned_Data!$M$2:$M$236,Cleaned_Data!$C$2:$C$236,K17,Cleaned_Data!$N$2:$N$236,"OK")</f>
        <v>1339662.5</v>
      </c>
    </row>
    <row r="18" spans="1:12" x14ac:dyDescent="0.25">
      <c r="K18" t="str">
        <f>"CUST-"&amp;TEXT(999+ROWS($K$2:K18),"0000")</f>
        <v>CUST-1016</v>
      </c>
      <c r="L18" s="45">
        <f>SUMIFS(Cleaned_Data!$M$2:$M$236,Cleaned_Data!$C$2:$C$236,K18,Cleaned_Data!$N$2:$N$236,"OK")</f>
        <v>336930</v>
      </c>
    </row>
    <row r="19" spans="1:12" x14ac:dyDescent="0.25">
      <c r="K19" t="str">
        <f>"CUST-"&amp;TEXT(999+ROWS($K$2:K19),"0000")</f>
        <v>CUST-1017</v>
      </c>
      <c r="L19" s="45">
        <f>SUMIFS(Cleaned_Data!$M$2:$M$236,Cleaned_Data!$C$2:$C$236,K19,Cleaned_Data!$N$2:$N$236,"OK")</f>
        <v>352210</v>
      </c>
    </row>
    <row r="20" spans="1:12" x14ac:dyDescent="0.25">
      <c r="A20" s="18" t="s">
        <v>518</v>
      </c>
      <c r="K20" t="str">
        <f>"CUST-"&amp;TEXT(999+ROWS($K$2:K20),"0000")</f>
        <v>CUST-1018</v>
      </c>
      <c r="L20" s="45">
        <f>SUMIFS(Cleaned_Data!$M$2:$M$236,Cleaned_Data!$C$2:$C$236,K20,Cleaned_Data!$N$2:$N$236,"OK")</f>
        <v>370450</v>
      </c>
    </row>
    <row r="21" spans="1:12" x14ac:dyDescent="0.25">
      <c r="A21" s="21"/>
      <c r="B21" s="19" t="s">
        <v>8</v>
      </c>
      <c r="C21" s="19" t="s">
        <v>9</v>
      </c>
      <c r="D21" s="19" t="s">
        <v>10</v>
      </c>
      <c r="E21" s="19" t="s">
        <v>11</v>
      </c>
      <c r="F21" s="19" t="s">
        <v>12</v>
      </c>
      <c r="G21" s="19" t="s">
        <v>13</v>
      </c>
      <c r="K21" t="str">
        <f>"CUST-"&amp;TEXT(999+ROWS($K$2:K21),"0000")</f>
        <v>CUST-1019</v>
      </c>
      <c r="L21" s="45">
        <f>SUMIFS(Cleaned_Data!$M$2:$M$236,Cleaned_Data!$C$2:$C$236,K21,Cleaned_Data!$N$2:$N$236,"OK")</f>
        <v>985400</v>
      </c>
    </row>
    <row r="22" spans="1:12" x14ac:dyDescent="0.25">
      <c r="A22" s="20" t="s">
        <v>5</v>
      </c>
      <c r="B22" s="22">
        <f>IFERROR(SUMIFS(Cleaned_Data!$M:$M, Cleaned_Data!$D:$D, $A22, Cleaned_Data!$B:$B, "&gt;="&amp;B$21, Cleaned_Data!$B:$B, "&lt;="&amp;EOMONTH(B$21, 0), Cleaned_Data!$N:$N, "OK") / INDEX(Targets!$B$2:$G$6, MATCH($A22, Targets!$A$2:$A$6, 0), MATCH(B$21, Targets!$B$1:$G$1, 0)), 0)</f>
        <v>0.7977352941176471</v>
      </c>
      <c r="C22" s="23">
        <f>IFERROR(SUMIFS(Cleaned_Data!$M:$M, Cleaned_Data!$D:$D, $A22, Cleaned_Data!$B:$B, "&gt;="&amp;C$21, Cleaned_Data!$B:$B, "&lt;="&amp;EOMONTH(C$21, 0), Cleaned_Data!$N:$N, "OK") / INDEX(Targets!$B$2:$G$6, MATCH($A22, Targets!$A$2:$A$6, 0), MATCH(C$21, Targets!$B$1:$G$1, 0)), 0)</f>
        <v>0.38902222222222221</v>
      </c>
      <c r="D22" s="23">
        <f>IFERROR(SUMIFS(Cleaned_Data!$M:$M, Cleaned_Data!$D:$D, $A22, Cleaned_Data!$B:$B, "&gt;="&amp;D$21, Cleaned_Data!$B:$B, "&lt;="&amp;EOMONTH(D$21, 0), Cleaned_Data!$N:$N, "OK") / INDEX(Targets!$B$2:$G$6, MATCH($A22, Targets!$A$2:$A$6, 0), MATCH(D$21, Targets!$B$1:$G$1, 0)), 0)</f>
        <v>9.2032608695652177E-2</v>
      </c>
      <c r="E22" s="23">
        <f>IFERROR(SUMIFS(Cleaned_Data!$M:$M, Cleaned_Data!$D:$D, $A22, Cleaned_Data!$B:$B, "&gt;="&amp;E$21, Cleaned_Data!$B:$B, "&lt;="&amp;EOMONTH(E$21, 0), Cleaned_Data!$N:$N, "OK") / INDEX(Targets!$B$2:$G$6, MATCH($A22, Targets!$A$2:$A$6, 0), MATCH(E$21, Targets!$B$1:$G$1, 0)), 0)</f>
        <v>0.13332670454545453</v>
      </c>
      <c r="F22" s="23">
        <f>IFERROR(SUMIFS(Cleaned_Data!$M:$M, Cleaned_Data!$D:$D, $A22, Cleaned_Data!$B:$B, "&gt;="&amp;F$21, Cleaned_Data!$B:$B, "&lt;="&amp;EOMONTH(F$21, 0), Cleaned_Data!$N:$N, "OK") / INDEX(Targets!$B$2:$G$6, MATCH($A22, Targets!$A$2:$A$6, 0), MATCH(F$21, Targets!$B$1:$G$1, 0)), 0)</f>
        <v>5.3357894736842104E-2</v>
      </c>
      <c r="G22" s="24">
        <f>IFERROR(SUMIFS(Cleaned_Data!$M:$M, Cleaned_Data!$D:$D, $A22, Cleaned_Data!$B:$B, "&gt;="&amp;G$21, Cleaned_Data!$B:$B, "&lt;="&amp;EOMONTH(G$21, 0), Cleaned_Data!$N:$N, "OK") / INDEX(Targets!$B$2:$G$6, MATCH($A22, Targets!$A$2:$A$6, 0), MATCH(G$21, Targets!$B$1:$G$1, 0)), 0)</f>
        <v>1.59531</v>
      </c>
      <c r="K22" t="str">
        <f>"CUST-"&amp;TEXT(999+ROWS($K$2:K22),"0000")</f>
        <v>CUST-1020</v>
      </c>
      <c r="L22" s="45">
        <f>SUMIFS(Cleaned_Data!$M$2:$M$236,Cleaned_Data!$C$2:$C$236,K22,Cleaned_Data!$N$2:$N$236,"OK")</f>
        <v>94050</v>
      </c>
    </row>
    <row r="23" spans="1:12" x14ac:dyDescent="0.25">
      <c r="A23" s="20" t="s">
        <v>296</v>
      </c>
      <c r="B23" s="23">
        <f>IFERROR(SUMIFS(Cleaned_Data!$M:$M, Cleaned_Data!$D:$D, $A23, Cleaned_Data!$B:$B, "&gt;="&amp;B$21, Cleaned_Data!$B:$B, "&lt;="&amp;EOMONTH(B$21, 0), Cleaned_Data!$N:$N, "OK") / INDEX(Targets!$B$2:$G$6, MATCH($A23, Targets!$A$2:$A$6, 0), MATCH(B$21, Targets!$B$1:$G$1, 0)), 0)</f>
        <v>0.21358333333333332</v>
      </c>
      <c r="C23" s="23">
        <f>IFERROR(SUMIFS(Cleaned_Data!$M:$M, Cleaned_Data!$D:$D, $A23, Cleaned_Data!$B:$B, "&gt;="&amp;C$21, Cleaned_Data!$B:$B, "&lt;="&amp;EOMONTH(C$21, 0), Cleaned_Data!$N:$N, "OK") / INDEX(Targets!$B$2:$G$6, MATCH($A23, Targets!$A$2:$A$6, 0), MATCH(C$21, Targets!$B$1:$G$1, 0)), 0)</f>
        <v>9.733536585365854E-2</v>
      </c>
      <c r="D23" s="22">
        <f>IFERROR(SUMIFS(Cleaned_Data!$M:$M, Cleaned_Data!$D:$D, $A23, Cleaned_Data!$B:$B, "&gt;="&amp;D$21, Cleaned_Data!$B:$B, "&lt;="&amp;EOMONTH(D$21, 0), Cleaned_Data!$N:$N, "OK") / INDEX(Targets!$B$2:$G$6, MATCH($A23, Targets!$A$2:$A$6, 0), MATCH(D$21, Targets!$B$1:$G$1, 0)), 0)</f>
        <v>0.82583235294117652</v>
      </c>
      <c r="E23" s="23">
        <f>IFERROR(SUMIFS(Cleaned_Data!$M:$M, Cleaned_Data!$D:$D, $A23, Cleaned_Data!$B:$B, "&gt;="&amp;E$21, Cleaned_Data!$B:$B, "&lt;="&amp;EOMONTH(E$21, 0), Cleaned_Data!$N:$N, "OK") / INDEX(Targets!$B$2:$G$6, MATCH($A23, Targets!$A$2:$A$6, 0), MATCH(E$21, Targets!$B$1:$G$1, 0)), 0)</f>
        <v>2.1093750000000001E-2</v>
      </c>
      <c r="F23" s="23">
        <f>IFERROR(SUMIFS(Cleaned_Data!$M:$M, Cleaned_Data!$D:$D, $A23, Cleaned_Data!$B:$B, "&gt;="&amp;F$21, Cleaned_Data!$B:$B, "&lt;="&amp;EOMONTH(F$21, 0), Cleaned_Data!$N:$N, "OK") / INDEX(Targets!$B$2:$G$6, MATCH($A23, Targets!$A$2:$A$6, 0), MATCH(F$21, Targets!$B$1:$G$1, 0)), 0)</f>
        <v>0.42023863636363634</v>
      </c>
      <c r="G23" s="23">
        <f>IFERROR(SUMIFS(Cleaned_Data!$M:$M, Cleaned_Data!$D:$D, $A23, Cleaned_Data!$B:$B, "&gt;="&amp;G$21, Cleaned_Data!$B:$B, "&lt;="&amp;EOMONTH(G$21, 0), Cleaned_Data!$N:$N, "OK") / INDEX(Targets!$B$2:$G$6, MATCH($A23, Targets!$A$2:$A$6, 0), MATCH(G$21, Targets!$B$1:$G$1, 0)), 0)</f>
        <v>0.48652173913043478</v>
      </c>
      <c r="K23" t="str">
        <f>"CUST-"&amp;TEXT(999+ROWS($K$2:K23),"0000")</f>
        <v>CUST-1021</v>
      </c>
      <c r="L23" s="45">
        <f>SUMIFS(Cleaned_Data!$M$2:$M$236,Cleaned_Data!$C$2:$C$236,K23,Cleaned_Data!$N$2:$N$236,"OK")</f>
        <v>71995</v>
      </c>
    </row>
    <row r="24" spans="1:12" x14ac:dyDescent="0.25">
      <c r="A24" s="20" t="s">
        <v>69</v>
      </c>
      <c r="B24" s="24">
        <f>IFERROR(SUMIFS(Cleaned_Data!$M:$M, Cleaned_Data!$D:$D, $A24, Cleaned_Data!$B:$B, "&gt;="&amp;B$21, Cleaned_Data!$B:$B, "&lt;="&amp;EOMONTH(B$21, 0), Cleaned_Data!$N:$N, "OK") / INDEX(Targets!$B$2:$G$6, MATCH($A24, Targets!$A$2:$A$6, 0), MATCH(B$21, Targets!$B$1:$G$1, 0)), 0)</f>
        <v>1.0665645161290322</v>
      </c>
      <c r="C24" s="23">
        <f>IFERROR(SUMIFS(Cleaned_Data!$M:$M, Cleaned_Data!$D:$D, $A24, Cleaned_Data!$B:$B, "&gt;="&amp;C$21, Cleaned_Data!$B:$B, "&lt;="&amp;EOMONTH(C$21, 0), Cleaned_Data!$N:$N, "OK") / INDEX(Targets!$B$2:$G$6, MATCH($A24, Targets!$A$2:$A$6, 0), MATCH(C$21, Targets!$B$1:$G$1, 0)), 0)</f>
        <v>4.0846153846153845E-3</v>
      </c>
      <c r="D24" s="23">
        <f>IFERROR(SUMIFS(Cleaned_Data!$M:$M, Cleaned_Data!$D:$D, $A24, Cleaned_Data!$B:$B, "&gt;="&amp;D$21, Cleaned_Data!$B:$B, "&lt;="&amp;EOMONTH(D$21, 0), Cleaned_Data!$N:$N, "OK") / INDEX(Targets!$B$2:$G$6, MATCH($A24, Targets!$A$2:$A$6, 0), MATCH(D$21, Targets!$B$1:$G$1, 0)), 0)</f>
        <v>0.19919117647058823</v>
      </c>
      <c r="E24" s="22">
        <f>IFERROR(SUMIFS(Cleaned_Data!$M:$M, Cleaned_Data!$D:$D, $A24, Cleaned_Data!$B:$B, "&gt;="&amp;E$21, Cleaned_Data!$B:$B, "&lt;="&amp;EOMONTH(E$21, 0), Cleaned_Data!$N:$N, "OK") / INDEX(Targets!$B$2:$G$6, MATCH($A24, Targets!$A$2:$A$6, 0), MATCH(E$21, Targets!$B$1:$G$1, 0)), 0)</f>
        <v>0.82293939393939397</v>
      </c>
      <c r="F24" s="23">
        <f>IFERROR(SUMIFS(Cleaned_Data!$M:$M, Cleaned_Data!$D:$D, $A24, Cleaned_Data!$B:$B, "&gt;="&amp;F$21, Cleaned_Data!$B:$B, "&lt;="&amp;EOMONTH(F$21, 0), Cleaned_Data!$N:$N, "OK") / INDEX(Targets!$B$2:$G$6, MATCH($A24, Targets!$A$2:$A$6, 0), MATCH(F$21, Targets!$B$1:$G$1, 0)), 0)</f>
        <v>0.44512142857142856</v>
      </c>
      <c r="G24" s="22">
        <f>IFERROR(SUMIFS(Cleaned_Data!$M:$M, Cleaned_Data!$D:$D, $A24, Cleaned_Data!$B:$B, "&gt;="&amp;G$21, Cleaned_Data!$B:$B, "&lt;="&amp;EOMONTH(G$21, 0), Cleaned_Data!$N:$N, "OK") / INDEX(Targets!$B$2:$G$6, MATCH($A24, Targets!$A$2:$A$6, 0), MATCH(G$21, Targets!$B$1:$G$1, 0)), 0)</f>
        <v>0.79240540540540538</v>
      </c>
      <c r="K24" t="str">
        <f>"CUST-"&amp;TEXT(999+ROWS($K$2:K24),"0000")</f>
        <v>CUST-1022</v>
      </c>
      <c r="L24" s="45">
        <f>SUMIFS(Cleaned_Data!$M$2:$M$236,Cleaned_Data!$C$2:$C$236,K24,Cleaned_Data!$N$2:$N$236,"OK")</f>
        <v>940200</v>
      </c>
    </row>
    <row r="25" spans="1:12" x14ac:dyDescent="0.25">
      <c r="A25" s="20" t="s">
        <v>83</v>
      </c>
      <c r="B25" s="22">
        <f>IFERROR(SUMIFS(Cleaned_Data!$M:$M, Cleaned_Data!$D:$D, $A25, Cleaned_Data!$B:$B, "&gt;="&amp;B$21, Cleaned_Data!$B:$B, "&lt;="&amp;EOMONTH(B$21, 0), Cleaned_Data!$N:$N, "OK") / INDEX(Targets!$B$2:$G$6, MATCH($A25, Targets!$A$2:$A$6, 0), MATCH(B$21, Targets!$B$1:$G$1, 0)), 0)</f>
        <v>0.89107142857142863</v>
      </c>
      <c r="C25" s="22">
        <f>IFERROR(SUMIFS(Cleaned_Data!$M:$M, Cleaned_Data!$D:$D, $A25, Cleaned_Data!$B:$B, "&gt;="&amp;C$21, Cleaned_Data!$B:$B, "&lt;="&amp;EOMONTH(C$21, 0), Cleaned_Data!$N:$N, "OK") / INDEX(Targets!$B$2:$G$6, MATCH($A25, Targets!$A$2:$A$6, 0), MATCH(C$21, Targets!$B$1:$G$1, 0)), 0)</f>
        <v>0.83758561643835616</v>
      </c>
      <c r="D25" s="22">
        <f>IFERROR(SUMIFS(Cleaned_Data!$M:$M, Cleaned_Data!$D:$D, $A25, Cleaned_Data!$B:$B, "&gt;="&amp;D$21, Cleaned_Data!$B:$B, "&lt;="&amp;EOMONTH(D$21, 0), Cleaned_Data!$N:$N, "OK") / INDEX(Targets!$B$2:$G$6, MATCH($A25, Targets!$A$2:$A$6, 0), MATCH(D$21, Targets!$B$1:$G$1, 0)), 0)</f>
        <v>0.53641447368421058</v>
      </c>
      <c r="E25" s="22">
        <f>IFERROR(SUMIFS(Cleaned_Data!$M:$M, Cleaned_Data!$D:$D, $A25, Cleaned_Data!$B:$B, "&gt;="&amp;E$21, Cleaned_Data!$B:$B, "&lt;="&amp;EOMONTH(E$21, 0), Cleaned_Data!$N:$N, "OK") / INDEX(Targets!$B$2:$G$6, MATCH($A25, Targets!$A$2:$A$6, 0), MATCH(E$21, Targets!$B$1:$G$1, 0)), 0)</f>
        <v>0.68436148648648654</v>
      </c>
      <c r="F25" s="24">
        <f>IFERROR(SUMIFS(Cleaned_Data!$M:$M, Cleaned_Data!$D:$D, $A25, Cleaned_Data!$B:$B, "&gt;="&amp;F$21, Cleaned_Data!$B:$B, "&lt;="&amp;EOMONTH(F$21, 0), Cleaned_Data!$N:$N, "OK") / INDEX(Targets!$B$2:$G$6, MATCH($A25, Targets!$A$2:$A$6, 0), MATCH(F$21, Targets!$B$1:$G$1, 0)), 0)</f>
        <v>0.9971518987341772</v>
      </c>
      <c r="G25" s="22">
        <f>IFERROR(SUMIFS(Cleaned_Data!$M:$M, Cleaned_Data!$D:$D, $A25, Cleaned_Data!$B:$B, "&gt;="&amp;G$21, Cleaned_Data!$B:$B, "&lt;="&amp;EOMONTH(G$21, 0), Cleaned_Data!$N:$N, "OK") / INDEX(Targets!$B$2:$G$6, MATCH($A25, Targets!$A$2:$A$6, 0), MATCH(G$21, Targets!$B$1:$G$1, 0)), 0)</f>
        <v>0.88738855421686746</v>
      </c>
      <c r="K25" t="str">
        <f>"CUST-"&amp;TEXT(999+ROWS($K$2:K25),"0000")</f>
        <v>CUST-1023</v>
      </c>
      <c r="L25" s="45">
        <f>SUMIFS(Cleaned_Data!$M$2:$M$236,Cleaned_Data!$C$2:$C$236,K25,Cleaned_Data!$N$2:$N$236,"OK")</f>
        <v>105150</v>
      </c>
    </row>
    <row r="26" spans="1:12" x14ac:dyDescent="0.25">
      <c r="A26" s="20" t="s">
        <v>266</v>
      </c>
      <c r="B26" s="24">
        <f>IFERROR(SUMIFS(Cleaned_Data!$M:$M, Cleaned_Data!$D:$D, $A26, Cleaned_Data!$B:$B, "&gt;="&amp;B$21, Cleaned_Data!$B:$B, "&lt;="&amp;EOMONTH(B$21, 0), Cleaned_Data!$N:$N, "OK") / INDEX(Targets!$B$2:$G$6, MATCH($A26, Targets!$A$2:$A$6, 0), MATCH(B$21, Targets!$B$1:$G$1, 0)), 0)</f>
        <v>1.9494120370370371</v>
      </c>
      <c r="C26" s="22">
        <f>IFERROR(SUMIFS(Cleaned_Data!$M:$M, Cleaned_Data!$D:$D, $A26, Cleaned_Data!$B:$B, "&gt;="&amp;C$21, Cleaned_Data!$B:$B, "&lt;="&amp;EOMONTH(C$21, 0), Cleaned_Data!$N:$N, "OK") / INDEX(Targets!$B$2:$G$6, MATCH($A26, Targets!$A$2:$A$6, 0), MATCH(C$21, Targets!$B$1:$G$1, 0)), 0)</f>
        <v>0.37403508771929822</v>
      </c>
      <c r="D26" s="22">
        <f>IFERROR(SUMIFS(Cleaned_Data!$M:$M, Cleaned_Data!$D:$D, $A26, Cleaned_Data!$B:$B, "&gt;="&amp;D$21, Cleaned_Data!$B:$B, "&lt;="&amp;EOMONTH(D$21, 0), Cleaned_Data!$N:$N, "OK") / INDEX(Targets!$B$2:$G$6, MATCH($A26, Targets!$A$2:$A$6, 0), MATCH(D$21, Targets!$B$1:$G$1, 0)), 0)</f>
        <v>0.6226666666666667</v>
      </c>
      <c r="E26" s="23">
        <f>IFERROR(SUMIFS(Cleaned_Data!$M:$M, Cleaned_Data!$D:$D, $A26, Cleaned_Data!$B:$B, "&gt;="&amp;E$21, Cleaned_Data!$B:$B, "&lt;="&amp;EOMONTH(E$21, 0), Cleaned_Data!$N:$N, "OK") / INDEX(Targets!$B$2:$G$6, MATCH($A26, Targets!$A$2:$A$6, 0), MATCH(E$21, Targets!$B$1:$G$1, 0)), 0)</f>
        <v>0.45615517241379311</v>
      </c>
      <c r="F26" s="22">
        <f>IFERROR(SUMIFS(Cleaned_Data!$M:$M, Cleaned_Data!$D:$D, $A26, Cleaned_Data!$B:$B, "&gt;="&amp;F$21, Cleaned_Data!$B:$B, "&lt;="&amp;EOMONTH(F$21, 0), Cleaned_Data!$N:$N, "OK") / INDEX(Targets!$B$2:$G$6, MATCH($A26, Targets!$A$2:$A$6, 0), MATCH(F$21, Targets!$B$1:$G$1, 0)), 0)</f>
        <v>0.46298387096774196</v>
      </c>
      <c r="G26" s="23">
        <f>IFERROR(SUMIFS(Cleaned_Data!$M:$M, Cleaned_Data!$D:$D, $A26, Cleaned_Data!$B:$B, "&gt;="&amp;G$21, Cleaned_Data!$B:$B, "&lt;="&amp;EOMONTH(G$21, 0), Cleaned_Data!$N:$N, "OK") / INDEX(Targets!$B$2:$G$6, MATCH($A26, Targets!$A$2:$A$6, 0), MATCH(G$21, Targets!$B$1:$G$1, 0)), 0)</f>
        <v>0.40045454545454545</v>
      </c>
      <c r="K26" t="str">
        <f>"CUST-"&amp;TEXT(999+ROWS($K$2:K26),"0000")</f>
        <v>CUST-1024</v>
      </c>
      <c r="L26" s="45">
        <f>SUMIFS(Cleaned_Data!$M$2:$M$236,Cleaned_Data!$C$2:$C$236,K26,Cleaned_Data!$N$2:$N$236,"OK")</f>
        <v>609775</v>
      </c>
    </row>
    <row r="27" spans="1:12" x14ac:dyDescent="0.25">
      <c r="K27" t="str">
        <f>"CUST-"&amp;TEXT(999+ROWS($K$2:K27),"0000")</f>
        <v>CUST-1025</v>
      </c>
      <c r="L27" s="45">
        <f>SUMIFS(Cleaned_Data!$M$2:$M$236,Cleaned_Data!$C$2:$C$236,K27,Cleaned_Data!$N$2:$N$236,"OK")</f>
        <v>414962.5</v>
      </c>
    </row>
    <row r="28" spans="1:12" x14ac:dyDescent="0.25">
      <c r="K28" t="str">
        <f>"CUST-"&amp;TEXT(999+ROWS($K$2:K28),"0000")</f>
        <v>CUST-1026</v>
      </c>
      <c r="L28" s="45">
        <f>SUMIFS(Cleaned_Data!$M$2:$M$236,Cleaned_Data!$C$2:$C$236,K28,Cleaned_Data!$N$2:$N$236,"OK")</f>
        <v>470362.5</v>
      </c>
    </row>
    <row r="29" spans="1:12" x14ac:dyDescent="0.25">
      <c r="A29" s="18" t="s">
        <v>519</v>
      </c>
      <c r="K29" t="str">
        <f>"CUST-"&amp;TEXT(999+ROWS($K$2:K29),"0000")</f>
        <v>CUST-1027</v>
      </c>
      <c r="L29" s="45">
        <f>SUMIFS(Cleaned_Data!$M$2:$M$236,Cleaned_Data!$C$2:$C$236,K29,Cleaned_Data!$N$2:$N$236,"OK")</f>
        <v>655425</v>
      </c>
    </row>
    <row r="30" spans="1:12" x14ac:dyDescent="0.25">
      <c r="A30" s="19" t="s">
        <v>520</v>
      </c>
      <c r="B30" s="19" t="s">
        <v>7</v>
      </c>
      <c r="K30" t="str">
        <f>"CUST-"&amp;TEXT(999+ROWS($K$2:K30),"0000")</f>
        <v>CUST-1028</v>
      </c>
      <c r="L30" s="45">
        <f>SUMIFS(Cleaned_Data!$M$2:$M$236,Cleaned_Data!$C$2:$C$236,K30,Cleaned_Data!$N$2:$N$236,"OK")</f>
        <v>116697.5</v>
      </c>
    </row>
    <row r="31" spans="1:12" x14ac:dyDescent="0.25">
      <c r="A31" t="str">
        <f>INDEX($K2:$K$50,MATCH(LARGE($L$2:$L$50,1),$L$2:$L$50,0))</f>
        <v>CUST-1015</v>
      </c>
      <c r="B31" s="44">
        <f>LARGE($L$2:$L$50,1)</f>
        <v>1339662.5</v>
      </c>
      <c r="K31" t="str">
        <f>"CUST-"&amp;TEXT(999+ROWS($K$2:K31),"0000")</f>
        <v>CUST-1029</v>
      </c>
      <c r="L31" s="45">
        <f>SUMIFS(Cleaned_Data!$M$2:$M$236,Cleaned_Data!$C$2:$C$236,K31,Cleaned_Data!$N$2:$N$236,"OK")</f>
        <v>411595</v>
      </c>
    </row>
    <row r="32" spans="1:12" x14ac:dyDescent="0.25">
      <c r="A32" t="str">
        <f>INDEX($K2:$K$50,MATCH(LARGE($L$2:$L$50,2),$L$2:$L$50,0))</f>
        <v>CUST-1014</v>
      </c>
      <c r="B32" s="44">
        <f>LARGE($L$2:$L$50,2)</f>
        <v>1044850</v>
      </c>
      <c r="K32" t="str">
        <f>"CUST-"&amp;TEXT(999+ROWS($K$2:K32),"0000")</f>
        <v>CUST-1030</v>
      </c>
      <c r="L32" s="45">
        <f>SUMIFS(Cleaned_Data!$M$2:$M$236,Cleaned_Data!$C$2:$C$236,K32,Cleaned_Data!$N$2:$N$236,"OK")</f>
        <v>299532.5</v>
      </c>
    </row>
    <row r="33" spans="1:12" x14ac:dyDescent="0.25">
      <c r="A33" t="str">
        <f>INDEX($K2:$K$50,MATCH(LARGE($L$2:$L$50,3),$L$2:$L$50,0))</f>
        <v>CUST-1019</v>
      </c>
      <c r="B33" s="44">
        <f>LARGE($L$2:$L$50,3)</f>
        <v>985400</v>
      </c>
      <c r="K33" t="str">
        <f>"CUST-"&amp;TEXT(999+ROWS($K$2:K33),"0000")</f>
        <v>CUST-1031</v>
      </c>
      <c r="L33" s="45">
        <f>SUMIFS(Cleaned_Data!$M$2:$M$236,Cleaned_Data!$C$2:$C$236,K33,Cleaned_Data!$N$2:$N$236,"OK")</f>
        <v>122840</v>
      </c>
    </row>
    <row r="34" spans="1:12" x14ac:dyDescent="0.25">
      <c r="A34" t="str">
        <f>INDEX($K2:$K$50,MATCH(LARGE($L$2:$L$50,4),$L$2:$L$50,0))</f>
        <v>CUST-1022</v>
      </c>
      <c r="B34" s="44">
        <f>LARGE($L$2:$L$50,4)</f>
        <v>940200</v>
      </c>
      <c r="K34" t="str">
        <f>"CUST-"&amp;TEXT(999+ROWS($K$2:K34),"0000")</f>
        <v>CUST-1032</v>
      </c>
      <c r="L34" s="45">
        <f>SUMIFS(Cleaned_Data!$M$2:$M$236,Cleaned_Data!$C$2:$C$236,K34,Cleaned_Data!$N$2:$N$236,"OK")</f>
        <v>808475</v>
      </c>
    </row>
    <row r="35" spans="1:12" x14ac:dyDescent="0.25">
      <c r="A35" t="str">
        <f>INDEX($K2:$K$50,MATCH(LARGE($L$2:$L$50,5),$L$2:$L$50,0))</f>
        <v>CUST-1032</v>
      </c>
      <c r="B35" s="44">
        <f>LARGE($L$2:$L$50,5)</f>
        <v>808475</v>
      </c>
      <c r="K35" t="str">
        <f>"CUST-"&amp;TEXT(999+ROWS($K$2:K35),"0000")</f>
        <v>CUST-1033</v>
      </c>
      <c r="L35" s="45">
        <f>SUMIFS(Cleaned_Data!$M$2:$M$236,Cleaned_Data!$C$2:$C$236,K35,Cleaned_Data!$N$2:$N$236,"OK")</f>
        <v>102600</v>
      </c>
    </row>
    <row r="36" spans="1:12" x14ac:dyDescent="0.25">
      <c r="K36" t="str">
        <f>"CUST-"&amp;TEXT(999+ROWS($K$2:K36),"0000")</f>
        <v>CUST-1034</v>
      </c>
      <c r="L36" s="45">
        <f>SUMIFS(Cleaned_Data!$M$2:$M$236,Cleaned_Data!$C$2:$C$236,K36,Cleaned_Data!$N$2:$N$236,"OK")</f>
        <v>275025</v>
      </c>
    </row>
    <row r="37" spans="1:12" x14ac:dyDescent="0.25">
      <c r="K37" t="str">
        <f>"CUST-"&amp;TEXT(999+ROWS($K$2:K37),"0000")</f>
        <v>CUST-1035</v>
      </c>
      <c r="L37" s="45">
        <f>SUMIFS(Cleaned_Data!$M$2:$M$236,Cleaned_Data!$C$2:$C$236,K37,Cleaned_Data!$N$2:$N$236,"OK")</f>
        <v>355420</v>
      </c>
    </row>
    <row r="38" spans="1:12" x14ac:dyDescent="0.25">
      <c r="K38" t="str">
        <f>"CUST-"&amp;TEXT(999+ROWS($K$2:K38),"0000")</f>
        <v>CUST-1036</v>
      </c>
      <c r="L38" s="45">
        <f>SUMIFS(Cleaned_Data!$M$2:$M$236,Cleaned_Data!$C$2:$C$236,K38,Cleaned_Data!$N$2:$N$236,"OK")</f>
        <v>141225</v>
      </c>
    </row>
    <row r="39" spans="1:12" x14ac:dyDescent="0.25">
      <c r="K39" t="str">
        <f>"CUST-"&amp;TEXT(999+ROWS($K$2:K39),"0000")</f>
        <v>CUST-1037</v>
      </c>
      <c r="L39" s="45">
        <f>SUMIFS(Cleaned_Data!$M$2:$M$236,Cleaned_Data!$C$2:$C$236,K39,Cleaned_Data!$N$2:$N$236,"OK")</f>
        <v>806210</v>
      </c>
    </row>
    <row r="40" spans="1:12" x14ac:dyDescent="0.25">
      <c r="K40" t="str">
        <f>"CUST-"&amp;TEXT(999+ROWS($K$2:K40),"0000")</f>
        <v>CUST-1038</v>
      </c>
      <c r="L40" s="45">
        <f>SUMIFS(Cleaned_Data!$M$2:$M$236,Cleaned_Data!$C$2:$C$236,K40,Cleaned_Data!$N$2:$N$236,"OK")</f>
        <v>180022.5</v>
      </c>
    </row>
    <row r="41" spans="1:12" x14ac:dyDescent="0.25">
      <c r="K41" t="str">
        <f>"CUST-"&amp;TEXT(999+ROWS($K$2:K41),"0000")</f>
        <v>CUST-1039</v>
      </c>
      <c r="L41" s="45">
        <f>SUMIFS(Cleaned_Data!$M$2:$M$236,Cleaned_Data!$C$2:$C$236,K41,Cleaned_Data!$N$2:$N$236,"OK")</f>
        <v>57450</v>
      </c>
    </row>
    <row r="42" spans="1:12" x14ac:dyDescent="0.25">
      <c r="K42" t="str">
        <f>"CUST-"&amp;TEXT(999+ROWS($K$2:K42),"0000")</f>
        <v>CUST-1040</v>
      </c>
      <c r="L42" s="45">
        <f>SUMIFS(Cleaned_Data!$M$2:$M$236,Cleaned_Data!$C$2:$C$236,K42,Cleaned_Data!$N$2:$N$236,"OK")</f>
        <v>0</v>
      </c>
    </row>
    <row r="43" spans="1:12" x14ac:dyDescent="0.25">
      <c r="K43" t="str">
        <f>"CUST-"&amp;TEXT(999+ROWS($K$2:K43),"0000")</f>
        <v>CUST-1041</v>
      </c>
      <c r="L43" s="45">
        <f>SUMIFS(Cleaned_Data!$M$2:$M$236,Cleaned_Data!$C$2:$C$236,K43,Cleaned_Data!$N$2:$N$236,"OK")</f>
        <v>0</v>
      </c>
    </row>
    <row r="44" spans="1:12" x14ac:dyDescent="0.25">
      <c r="K44" t="str">
        <f>"CUST-"&amp;TEXT(999+ROWS($K$2:K44),"0000")</f>
        <v>CUST-1042</v>
      </c>
      <c r="L44" s="45">
        <f>SUMIFS(Cleaned_Data!$M$2:$M$236,Cleaned_Data!$C$2:$C$236,K44,Cleaned_Data!$N$2:$N$236,"OK")</f>
        <v>0</v>
      </c>
    </row>
    <row r="45" spans="1:12" x14ac:dyDescent="0.25">
      <c r="K45" t="str">
        <f>"CUST-"&amp;TEXT(999+ROWS($K$2:K45),"0000")</f>
        <v>CUST-1043</v>
      </c>
      <c r="L45" s="45">
        <f>SUMIFS(Cleaned_Data!$M$2:$M$236,Cleaned_Data!$C$2:$C$236,K45,Cleaned_Data!$N$2:$N$236,"OK")</f>
        <v>0</v>
      </c>
    </row>
    <row r="46" spans="1:12" x14ac:dyDescent="0.25">
      <c r="K46" t="str">
        <f>"CUST-"&amp;TEXT(999+ROWS($K$2:K46),"0000")</f>
        <v>CUST-1044</v>
      </c>
      <c r="L46" s="45">
        <f>SUMIFS(Cleaned_Data!$M$2:$M$236,Cleaned_Data!$C$2:$C$236,K46,Cleaned_Data!$N$2:$N$236,"OK")</f>
        <v>0</v>
      </c>
    </row>
    <row r="47" spans="1:12" x14ac:dyDescent="0.25">
      <c r="K47" t="str">
        <f>"CUST-"&amp;TEXT(999+ROWS($K$2:K47),"0000")</f>
        <v>CUST-1045</v>
      </c>
      <c r="L47" s="45">
        <f>SUMIFS(Cleaned_Data!$M$2:$M$236,Cleaned_Data!$C$2:$C$236,K47,Cleaned_Data!$N$2:$N$236,"OK")</f>
        <v>0</v>
      </c>
    </row>
    <row r="48" spans="1:12" x14ac:dyDescent="0.25">
      <c r="K48" t="str">
        <f>"CUST-"&amp;TEXT(999+ROWS($K$2:K48),"0000")</f>
        <v>CUST-1046</v>
      </c>
      <c r="L48" s="45">
        <f>SUMIFS(Cleaned_Data!$M$2:$M$236,Cleaned_Data!$C$2:$C$236,K48,Cleaned_Data!$N$2:$N$236,"OK")</f>
        <v>0</v>
      </c>
    </row>
    <row r="49" spans="11:12" x14ac:dyDescent="0.25">
      <c r="K49" t="str">
        <f>"CUST-"&amp;TEXT(999+ROWS($K$2:K49),"0000")</f>
        <v>CUST-1047</v>
      </c>
      <c r="L49" s="45">
        <f>SUMIFS(Cleaned_Data!$M$2:$M$236,Cleaned_Data!$C$2:$C$236,K49,Cleaned_Data!$N$2:$N$236,"OK")</f>
        <v>0</v>
      </c>
    </row>
    <row r="50" spans="11:12" x14ac:dyDescent="0.25">
      <c r="K50" t="str">
        <f>"CUST-"&amp;TEXT(999+ROWS($K$2:K50),"0000")</f>
        <v>CUST-1048</v>
      </c>
      <c r="L50" s="45">
        <f>SUMIFS(Cleaned_Data!$M$2:$M$236,Cleaned_Data!$C$2:$C$236,K50,Cleaned_Data!$N$2:$N$236,"OK")</f>
        <v>0</v>
      </c>
    </row>
  </sheetData>
  <conditionalFormatting sqref="B22:G26">
    <cfRule type="cellIs" dxfId="37" priority="1" operator="lessThan">
      <formula>0.8</formula>
    </cfRule>
    <cfRule type="cellIs" dxfId="36" priority="2" operator="greaterThan">
      <formula>0.9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5" x14ac:dyDescent="0.25"/>
  <cols>
    <col min="1" max="1" width="48" bestFit="1" customWidth="1"/>
    <col min="2" max="2" width="12.5703125" bestFit="1" customWidth="1"/>
    <col min="3" max="6" width="11.5703125" bestFit="1" customWidth="1"/>
    <col min="7" max="7" width="12.5703125" bestFit="1" customWidth="1"/>
  </cols>
  <sheetData>
    <row r="1" spans="1:7" x14ac:dyDescent="0.25">
      <c r="A1" s="15" t="s">
        <v>521</v>
      </c>
    </row>
    <row r="2" spans="1:7" x14ac:dyDescent="0.25">
      <c r="A2" s="21" t="s">
        <v>29</v>
      </c>
      <c r="B2" s="25" t="s">
        <v>8</v>
      </c>
      <c r="C2" s="25" t="s">
        <v>9</v>
      </c>
      <c r="D2" s="25" t="s">
        <v>10</v>
      </c>
      <c r="E2" s="25" t="s">
        <v>11</v>
      </c>
      <c r="F2" s="25" t="s">
        <v>12</v>
      </c>
      <c r="G2" s="25" t="s">
        <v>13</v>
      </c>
    </row>
    <row r="3" spans="1:7" x14ac:dyDescent="0.25">
      <c r="A3" s="20" t="s">
        <v>5</v>
      </c>
      <c r="B3" s="26">
        <f>SUMIFS(Cleaned_Data!$M$2:$M$236,Cleaned_Data!$D$2:$D$236,$A3,Cleaned_Data!$B$2:$B$236,"&gt;="&amp;B$2,Cleaned_Data!$B$2:$B$236,"&lt;="&amp;EOMONTH(B$2,0),Cleaned_Data!$N$2:$N$236,"OK")</f>
        <v>678075</v>
      </c>
      <c r="C3" s="26">
        <f>SUMIFS(Cleaned_Data!$M$2:$M$236,Cleaned_Data!$D$2:$D$236,$A3,Cleaned_Data!$B$2:$B$236,"&gt;="&amp;C$2,Cleaned_Data!$B$2:$B$236,"&lt;="&amp;EOMONTH(C$2,0),Cleaned_Data!$N$2:$N$236,"OK")</f>
        <v>350120</v>
      </c>
      <c r="D3" s="26">
        <f>SUMIFS(Cleaned_Data!$M$2:$M$236,Cleaned_Data!$D$2:$D$236,$A3,Cleaned_Data!$B$2:$B$236,"&gt;="&amp;D$2,Cleaned_Data!$B$2:$B$236,"&lt;="&amp;EOMONTH(D$2,0),Cleaned_Data!$N$2:$N$236,"OK")</f>
        <v>84670</v>
      </c>
      <c r="E3" s="26">
        <f>SUMIFS(Cleaned_Data!$M$2:$M$236,Cleaned_Data!$D$2:$D$236,$A3,Cleaned_Data!$B$2:$B$236,"&gt;="&amp;E$2,Cleaned_Data!$B$2:$B$236,"&lt;="&amp;EOMONTH(E$2,0),Cleaned_Data!$N$2:$N$236,"OK")</f>
        <v>117327.5</v>
      </c>
      <c r="F3" s="26">
        <f>SUMIFS(Cleaned_Data!$M$2:$M$236,Cleaned_Data!$D$2:$D$236,$A3,Cleaned_Data!$B$2:$B$236,"&gt;="&amp;F$2,Cleaned_Data!$B$2:$B$236,"&lt;="&amp;EOMONTH(F$2,0),Cleaned_Data!$N$2:$N$236,"OK")</f>
        <v>50690</v>
      </c>
      <c r="G3" s="26">
        <f>SUMIFS(Cleaned_Data!$M$2:$M$236,Cleaned_Data!$D$2:$D$236,$A3,Cleaned_Data!$B$2:$B$236,"&gt;="&amp;G$2,Cleaned_Data!$B$2:$B$236,"&lt;="&amp;EOMONTH(G$2,0),Cleaned_Data!$N$2:$N$236,"OK")</f>
        <v>1595310</v>
      </c>
    </row>
    <row r="4" spans="1:7" x14ac:dyDescent="0.25">
      <c r="A4" s="20" t="s">
        <v>296</v>
      </c>
      <c r="B4" s="26">
        <f>SUMIFS(Cleaned_Data!$M$2:$M$236,Cleaned_Data!$D$2:$D$236,$A4,Cleaned_Data!$B$2:$B$236,"&gt;="&amp;B$2,Cleaned_Data!$B$2:$B$236,"&lt;="&amp;EOMONTH(B$2,0),Cleaned_Data!$N$2:$N$236,"OK")</f>
        <v>166595</v>
      </c>
      <c r="C4" s="26">
        <f>SUMIFS(Cleaned_Data!$M$2:$M$236,Cleaned_Data!$D$2:$D$236,$A4,Cleaned_Data!$B$2:$B$236,"&gt;="&amp;C$2,Cleaned_Data!$B$2:$B$236,"&lt;="&amp;EOMONTH(C$2,0),Cleaned_Data!$N$2:$N$236,"OK")</f>
        <v>79815</v>
      </c>
      <c r="D4" s="26">
        <f>SUMIFS(Cleaned_Data!$M$2:$M$236,Cleaned_Data!$D$2:$D$236,$A4,Cleaned_Data!$B$2:$B$236,"&gt;="&amp;D$2,Cleaned_Data!$B$2:$B$236,"&lt;="&amp;EOMONTH(D$2,0),Cleaned_Data!$N$2:$N$236,"OK")</f>
        <v>701957.5</v>
      </c>
      <c r="E4" s="26">
        <f>SUMIFS(Cleaned_Data!$M$2:$M$236,Cleaned_Data!$D$2:$D$236,$A4,Cleaned_Data!$B$2:$B$236,"&gt;="&amp;E$2,Cleaned_Data!$B$2:$B$236,"&lt;="&amp;EOMONTH(E$2,0),Cleaned_Data!$N$2:$N$236,"OK")</f>
        <v>16875</v>
      </c>
      <c r="F4" s="26">
        <f>SUMIFS(Cleaned_Data!$M$2:$M$236,Cleaned_Data!$D$2:$D$236,$A4,Cleaned_Data!$B$2:$B$236,"&gt;="&amp;F$2,Cleaned_Data!$B$2:$B$236,"&lt;="&amp;EOMONTH(F$2,0),Cleaned_Data!$N$2:$N$236,"OK")</f>
        <v>369810</v>
      </c>
      <c r="G4" s="26">
        <f>SUMIFS(Cleaned_Data!$M$2:$M$236,Cleaned_Data!$D$2:$D$236,$A4,Cleaned_Data!$B$2:$B$236,"&gt;="&amp;G$2,Cleaned_Data!$B$2:$B$236,"&lt;="&amp;EOMONTH(G$2,0),Cleaned_Data!$N$2:$N$236,"OK")</f>
        <v>447600</v>
      </c>
    </row>
    <row r="5" spans="1:7" x14ac:dyDescent="0.25">
      <c r="A5" s="20" t="s">
        <v>69</v>
      </c>
      <c r="B5" s="26">
        <f>SUMIFS(Cleaned_Data!$M$2:$M$236,Cleaned_Data!$D$2:$D$236,$A5,Cleaned_Data!$B$2:$B$236,"&gt;="&amp;B$2,Cleaned_Data!$B$2:$B$236,"&lt;="&amp;EOMONTH(B$2,0),Cleaned_Data!$N$2:$N$236,"OK")</f>
        <v>661270</v>
      </c>
      <c r="C5" s="26">
        <f>SUMIFS(Cleaned_Data!$M$2:$M$236,Cleaned_Data!$D$2:$D$236,$A5,Cleaned_Data!$B$2:$B$236,"&gt;="&amp;C$2,Cleaned_Data!$B$2:$B$236,"&lt;="&amp;EOMONTH(C$2,0),Cleaned_Data!$N$2:$N$236,"OK")</f>
        <v>2655</v>
      </c>
      <c r="D5" s="26">
        <f>SUMIFS(Cleaned_Data!$M$2:$M$236,Cleaned_Data!$D$2:$D$236,$A5,Cleaned_Data!$B$2:$B$236,"&gt;="&amp;D$2,Cleaned_Data!$B$2:$B$236,"&lt;="&amp;EOMONTH(D$2,0),Cleaned_Data!$N$2:$N$236,"OK")</f>
        <v>135450</v>
      </c>
      <c r="E5" s="26">
        <f>SUMIFS(Cleaned_Data!$M$2:$M$236,Cleaned_Data!$D$2:$D$236,$A5,Cleaned_Data!$B$2:$B$236,"&gt;="&amp;E$2,Cleaned_Data!$B$2:$B$236,"&lt;="&amp;EOMONTH(E$2,0),Cleaned_Data!$N$2:$N$236,"OK")</f>
        <v>543140</v>
      </c>
      <c r="F5" s="26">
        <f>SUMIFS(Cleaned_Data!$M$2:$M$236,Cleaned_Data!$D$2:$D$236,$A5,Cleaned_Data!$B$2:$B$236,"&gt;="&amp;F$2,Cleaned_Data!$B$2:$B$236,"&lt;="&amp;EOMONTH(F$2,0),Cleaned_Data!$N$2:$N$236,"OK")</f>
        <v>311585</v>
      </c>
      <c r="G5" s="26">
        <f>SUMIFS(Cleaned_Data!$M$2:$M$236,Cleaned_Data!$D$2:$D$236,$A5,Cleaned_Data!$B$2:$B$236,"&gt;="&amp;G$2,Cleaned_Data!$B$2:$B$236,"&lt;="&amp;EOMONTH(G$2,0),Cleaned_Data!$N$2:$N$236,"OK")</f>
        <v>586380</v>
      </c>
    </row>
    <row r="6" spans="1:7" x14ac:dyDescent="0.25">
      <c r="A6" s="20" t="s">
        <v>83</v>
      </c>
      <c r="B6" s="26">
        <f>SUMIFS(Cleaned_Data!$M$2:$M$236,Cleaned_Data!$D$2:$D$236,$A6,Cleaned_Data!$B$2:$B$236,"&gt;="&amp;B$2,Cleaned_Data!$B$2:$B$236,"&lt;="&amp;EOMONTH(B$2,0),Cleaned_Data!$N$2:$N$236,"OK")</f>
        <v>623750</v>
      </c>
      <c r="C6" s="26">
        <f>SUMIFS(Cleaned_Data!$M$2:$M$236,Cleaned_Data!$D$2:$D$236,$A6,Cleaned_Data!$B$2:$B$236,"&gt;="&amp;C$2,Cleaned_Data!$B$2:$B$236,"&lt;="&amp;EOMONTH(C$2,0),Cleaned_Data!$N$2:$N$236,"OK")</f>
        <v>611437.5</v>
      </c>
      <c r="D6" s="26">
        <f>SUMIFS(Cleaned_Data!$M$2:$M$236,Cleaned_Data!$D$2:$D$236,$A6,Cleaned_Data!$B$2:$B$236,"&gt;="&amp;D$2,Cleaned_Data!$B$2:$B$236,"&lt;="&amp;EOMONTH(D$2,0),Cleaned_Data!$N$2:$N$236,"OK")</f>
        <v>407675</v>
      </c>
      <c r="E6" s="26">
        <f>SUMIFS(Cleaned_Data!$M$2:$M$236,Cleaned_Data!$D$2:$D$236,$A6,Cleaned_Data!$B$2:$B$236,"&gt;="&amp;E$2,Cleaned_Data!$B$2:$B$236,"&lt;="&amp;EOMONTH(E$2,0),Cleaned_Data!$N$2:$N$236,"OK")</f>
        <v>506427.5</v>
      </c>
      <c r="F6" s="26">
        <f>SUMIFS(Cleaned_Data!$M$2:$M$236,Cleaned_Data!$D$2:$D$236,$A6,Cleaned_Data!$B$2:$B$236,"&gt;="&amp;F$2,Cleaned_Data!$B$2:$B$236,"&lt;="&amp;EOMONTH(F$2,0),Cleaned_Data!$N$2:$N$236,"OK")</f>
        <v>787750</v>
      </c>
      <c r="G6" s="26">
        <f>SUMIFS(Cleaned_Data!$M$2:$M$236,Cleaned_Data!$D$2:$D$236,$A6,Cleaned_Data!$B$2:$B$236,"&gt;="&amp;G$2,Cleaned_Data!$B$2:$B$236,"&lt;="&amp;EOMONTH(G$2,0),Cleaned_Data!$N$2:$N$236,"OK")</f>
        <v>736532.5</v>
      </c>
    </row>
    <row r="7" spans="1:7" x14ac:dyDescent="0.25">
      <c r="A7" s="20" t="s">
        <v>266</v>
      </c>
      <c r="B7" s="26">
        <f>SUMIFS(Cleaned_Data!$M$2:$M$236,Cleaned_Data!$D$2:$D$236,$A7,Cleaned_Data!$B$2:$B$236,"&gt;="&amp;B$2,Cleaned_Data!$B$2:$B$236,"&lt;="&amp;EOMONTH(B$2,0),Cleaned_Data!$N$2:$N$236,"OK")</f>
        <v>1052682.5</v>
      </c>
      <c r="C7" s="26">
        <f>SUMIFS(Cleaned_Data!$M$2:$M$236,Cleaned_Data!$D$2:$D$236,$A7,Cleaned_Data!$B$2:$B$236,"&gt;="&amp;C$2,Cleaned_Data!$B$2:$B$236,"&lt;="&amp;EOMONTH(C$2,0),Cleaned_Data!$N$2:$N$236,"OK")</f>
        <v>213200</v>
      </c>
      <c r="D7" s="26">
        <f>SUMIFS(Cleaned_Data!$M$2:$M$236,Cleaned_Data!$D$2:$D$236,$A7,Cleaned_Data!$B$2:$B$236,"&gt;="&amp;D$2,Cleaned_Data!$B$2:$B$236,"&lt;="&amp;EOMONTH(D$2,0),Cleaned_Data!$N$2:$N$236,"OK")</f>
        <v>373600</v>
      </c>
      <c r="E7" s="26">
        <f>SUMIFS(Cleaned_Data!$M$2:$M$236,Cleaned_Data!$D$2:$D$236,$A7,Cleaned_Data!$B$2:$B$236,"&gt;="&amp;E$2,Cleaned_Data!$B$2:$B$236,"&lt;="&amp;EOMONTH(E$2,0),Cleaned_Data!$N$2:$N$236,"OK")</f>
        <v>264570</v>
      </c>
      <c r="F7" s="26">
        <f>SUMIFS(Cleaned_Data!$M$2:$M$236,Cleaned_Data!$D$2:$D$236,$A7,Cleaned_Data!$B$2:$B$236,"&gt;="&amp;F$2,Cleaned_Data!$B$2:$B$236,"&lt;="&amp;EOMONTH(F$2,0),Cleaned_Data!$N$2:$N$236,"OK")</f>
        <v>287050</v>
      </c>
      <c r="G7" s="26">
        <f>SUMIFS(Cleaned_Data!$M$2:$M$236,Cleaned_Data!$D$2:$D$236,$A7,Cleaned_Data!$B$2:$B$236,"&gt;="&amp;G$2,Cleaned_Data!$B$2:$B$236,"&lt;="&amp;EOMONTH(G$2,0),Cleaned_Data!$N$2:$N$236,"OK")</f>
        <v>264300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tabSelected="1" workbookViewId="0">
      <selection activeCell="P13" sqref="P13"/>
    </sheetView>
  </sheetViews>
  <sheetFormatPr defaultRowHeight="15" x14ac:dyDescent="0.25"/>
  <cols>
    <col min="1" max="1" width="48" bestFit="1" customWidth="1"/>
    <col min="2" max="2" width="16.28515625" bestFit="1" customWidth="1"/>
    <col min="3" max="5" width="14.28515625" bestFit="1" customWidth="1"/>
    <col min="6" max="7" width="13.28515625" bestFit="1" customWidth="1"/>
    <col min="8" max="9" width="11.5703125" bestFit="1" customWidth="1"/>
    <col min="10" max="11" width="13.28515625" bestFit="1" customWidth="1"/>
    <col min="12" max="13" width="14.28515625" bestFit="1" customWidth="1"/>
    <col min="14" max="14" width="10.5703125" bestFit="1" customWidth="1"/>
    <col min="15" max="15" width="15.85546875" bestFit="1" customWidth="1"/>
  </cols>
  <sheetData>
    <row r="1" spans="1:15" x14ac:dyDescent="0.25">
      <c r="A1" s="15" t="s">
        <v>521</v>
      </c>
    </row>
    <row r="3" spans="1:15" x14ac:dyDescent="0.25">
      <c r="A3" s="35" t="s">
        <v>522</v>
      </c>
      <c r="B3" s="35" t="s">
        <v>523</v>
      </c>
    </row>
    <row r="4" spans="1:15" x14ac:dyDescent="0.25">
      <c r="A4" s="36" t="s">
        <v>524</v>
      </c>
      <c r="B4" s="36" t="s">
        <v>525</v>
      </c>
      <c r="C4" s="36" t="s">
        <v>526</v>
      </c>
      <c r="D4" s="36" t="s">
        <v>527</v>
      </c>
      <c r="E4" s="36" t="s">
        <v>528</v>
      </c>
      <c r="F4" s="36" t="s">
        <v>529</v>
      </c>
      <c r="G4" s="36" t="s">
        <v>530</v>
      </c>
      <c r="H4" s="36" t="s">
        <v>531</v>
      </c>
      <c r="I4" s="36" t="s">
        <v>532</v>
      </c>
      <c r="J4" s="36" t="s">
        <v>533</v>
      </c>
      <c r="K4" s="36" t="s">
        <v>534</v>
      </c>
      <c r="L4" s="36" t="s">
        <v>535</v>
      </c>
      <c r="M4" s="36" t="s">
        <v>536</v>
      </c>
      <c r="N4" s="36" t="s">
        <v>537</v>
      </c>
      <c r="O4" s="36" t="s">
        <v>538</v>
      </c>
    </row>
    <row r="5" spans="1:15" x14ac:dyDescent="0.25">
      <c r="A5" s="34" t="s">
        <v>266</v>
      </c>
      <c r="B5" s="62">
        <v>424000</v>
      </c>
      <c r="C5" s="62">
        <v>491370</v>
      </c>
      <c r="D5" s="62">
        <v>627550</v>
      </c>
      <c r="E5" s="62">
        <v>264300</v>
      </c>
      <c r="F5" s="62">
        <v>56000</v>
      </c>
      <c r="G5" s="62"/>
      <c r="H5" s="62"/>
      <c r="I5" s="62"/>
      <c r="J5" s="62">
        <v>5250</v>
      </c>
      <c r="K5" s="62"/>
      <c r="L5" s="62">
        <v>1244732.5</v>
      </c>
      <c r="M5" s="62">
        <v>318675</v>
      </c>
      <c r="N5" s="62"/>
      <c r="O5" s="62">
        <v>3431877.5</v>
      </c>
    </row>
    <row r="6" spans="1:15" x14ac:dyDescent="0.25">
      <c r="A6" s="34" t="s">
        <v>69</v>
      </c>
      <c r="B6" s="62">
        <v>195600</v>
      </c>
      <c r="C6" s="62">
        <v>609440</v>
      </c>
      <c r="D6" s="62">
        <v>419185</v>
      </c>
      <c r="E6" s="62">
        <v>683180</v>
      </c>
      <c r="F6" s="62">
        <v>13500</v>
      </c>
      <c r="G6" s="62">
        <v>115200</v>
      </c>
      <c r="H6" s="62"/>
      <c r="I6" s="62">
        <v>17850</v>
      </c>
      <c r="J6" s="62">
        <v>144000</v>
      </c>
      <c r="K6" s="62"/>
      <c r="L6" s="62">
        <v>775270</v>
      </c>
      <c r="M6" s="62">
        <v>157205</v>
      </c>
      <c r="N6" s="62"/>
      <c r="O6" s="62">
        <v>3130430</v>
      </c>
    </row>
    <row r="7" spans="1:15" x14ac:dyDescent="0.25">
      <c r="A7" s="34" t="s">
        <v>5</v>
      </c>
      <c r="B7" s="62">
        <v>426670</v>
      </c>
      <c r="C7" s="62">
        <v>171327.5</v>
      </c>
      <c r="D7" s="62">
        <v>99140</v>
      </c>
      <c r="E7" s="62">
        <v>2966335</v>
      </c>
      <c r="F7" s="62">
        <v>57000</v>
      </c>
      <c r="G7" s="62">
        <v>19360</v>
      </c>
      <c r="H7" s="62">
        <v>67875</v>
      </c>
      <c r="I7" s="62"/>
      <c r="J7" s="62"/>
      <c r="K7" s="62">
        <v>84100</v>
      </c>
      <c r="L7" s="62">
        <v>687575</v>
      </c>
      <c r="M7" s="62">
        <v>381177.5</v>
      </c>
      <c r="N7" s="62">
        <v>1650</v>
      </c>
      <c r="O7" s="62">
        <v>4962210</v>
      </c>
    </row>
    <row r="8" spans="1:15" x14ac:dyDescent="0.25">
      <c r="A8" s="34" t="s">
        <v>296</v>
      </c>
      <c r="B8" s="62">
        <v>871157.5</v>
      </c>
      <c r="C8" s="62">
        <v>673875</v>
      </c>
      <c r="D8" s="62">
        <v>393610</v>
      </c>
      <c r="E8" s="62">
        <v>511050</v>
      </c>
      <c r="F8" s="62"/>
      <c r="G8" s="62"/>
      <c r="H8" s="62">
        <v>14875</v>
      </c>
      <c r="I8" s="62">
        <v>0</v>
      </c>
      <c r="J8" s="62">
        <v>31500</v>
      </c>
      <c r="K8" s="62">
        <v>19800</v>
      </c>
      <c r="L8" s="62">
        <v>393595</v>
      </c>
      <c r="M8" s="62">
        <v>274815</v>
      </c>
      <c r="N8" s="62"/>
      <c r="O8" s="62">
        <v>3184277.5</v>
      </c>
    </row>
    <row r="9" spans="1:15" x14ac:dyDescent="0.25">
      <c r="A9" s="34" t="s">
        <v>539</v>
      </c>
      <c r="B9" s="62">
        <v>3000</v>
      </c>
      <c r="C9" s="62">
        <v>565040</v>
      </c>
      <c r="D9" s="62">
        <v>94500</v>
      </c>
      <c r="E9" s="62"/>
      <c r="F9" s="62">
        <v>56000</v>
      </c>
      <c r="G9" s="62"/>
      <c r="H9" s="62"/>
      <c r="I9" s="62"/>
      <c r="J9" s="62"/>
      <c r="K9" s="62">
        <v>23625</v>
      </c>
      <c r="L9" s="62">
        <v>8412.5</v>
      </c>
      <c r="M9" s="62">
        <v>165000</v>
      </c>
      <c r="N9" s="62"/>
      <c r="O9" s="62">
        <v>915577.5</v>
      </c>
    </row>
    <row r="10" spans="1:15" x14ac:dyDescent="0.25">
      <c r="A10" s="34" t="s">
        <v>83</v>
      </c>
      <c r="B10" s="62">
        <v>411175</v>
      </c>
      <c r="C10" s="62">
        <v>509667.5</v>
      </c>
      <c r="D10" s="62">
        <v>1174500</v>
      </c>
      <c r="E10" s="62">
        <v>976732.5</v>
      </c>
      <c r="F10" s="62">
        <v>40500</v>
      </c>
      <c r="G10" s="62"/>
      <c r="H10" s="62">
        <v>14000</v>
      </c>
      <c r="I10" s="62">
        <v>3600</v>
      </c>
      <c r="J10" s="62"/>
      <c r="K10" s="62"/>
      <c r="L10" s="62">
        <v>623750</v>
      </c>
      <c r="M10" s="62">
        <v>611437.5</v>
      </c>
      <c r="N10" s="62"/>
      <c r="O10" s="62">
        <v>4365362.5</v>
      </c>
    </row>
    <row r="11" spans="1:15" x14ac:dyDescent="0.25">
      <c r="A11" s="37" t="s">
        <v>538</v>
      </c>
      <c r="B11" s="62">
        <v>2331602.5</v>
      </c>
      <c r="C11" s="62">
        <v>3020720</v>
      </c>
      <c r="D11" s="62">
        <v>2808485</v>
      </c>
      <c r="E11" s="62">
        <v>5401597.5</v>
      </c>
      <c r="F11" s="62">
        <v>223000</v>
      </c>
      <c r="G11" s="62">
        <v>134560</v>
      </c>
      <c r="H11" s="62">
        <v>96750</v>
      </c>
      <c r="I11" s="62">
        <v>21450</v>
      </c>
      <c r="J11" s="62">
        <v>180750</v>
      </c>
      <c r="K11" s="62">
        <v>127525</v>
      </c>
      <c r="L11" s="62">
        <v>3733335</v>
      </c>
      <c r="M11" s="62">
        <v>1908310</v>
      </c>
      <c r="N11" s="62">
        <v>1650</v>
      </c>
      <c r="O11" s="62">
        <v>19989735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5"/>
  <sheetViews>
    <sheetView showGridLines="0" zoomScaleNormal="100" workbookViewId="0">
      <selection activeCell="I7" sqref="I7"/>
    </sheetView>
  </sheetViews>
  <sheetFormatPr defaultRowHeight="15" x14ac:dyDescent="0.25"/>
  <cols>
    <col min="1" max="1" width="28.7109375" customWidth="1"/>
    <col min="2" max="4" width="28.5703125" customWidth="1"/>
    <col min="9" max="9" width="12.5703125" bestFit="1" customWidth="1"/>
  </cols>
  <sheetData>
    <row r="1" spans="1:26" ht="18.7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3" spans="1:26" x14ac:dyDescent="0.25">
      <c r="A3" s="30" t="s">
        <v>1</v>
      </c>
      <c r="B3" s="30" t="s">
        <v>2</v>
      </c>
      <c r="C3" s="30" t="s">
        <v>3</v>
      </c>
      <c r="D3" s="30" t="s">
        <v>4</v>
      </c>
    </row>
    <row r="4" spans="1:26" x14ac:dyDescent="0.25">
      <c r="A4" s="48">
        <f>SUM(Analysis!C3:C7)</f>
        <v>14135932.5</v>
      </c>
      <c r="B4" s="31">
        <f>SUM(Analysis!B3:B7)</f>
        <v>149</v>
      </c>
      <c r="C4" s="33">
        <f>IFERROR(A4/B4,0)</f>
        <v>94872.030201342277</v>
      </c>
      <c r="D4" s="31" t="str">
        <f>INDEX(Analysis!A3:A7,MATCH(MAX(Analysis!C3:C7),Analysis!C3:C7,0))</f>
        <v>West</v>
      </c>
      <c r="H4" s="36" t="s">
        <v>6</v>
      </c>
    </row>
    <row r="5" spans="1:26" x14ac:dyDescent="0.25">
      <c r="A5" s="32"/>
      <c r="B5" s="32"/>
      <c r="C5" s="32"/>
      <c r="D5" s="32"/>
      <c r="E5" s="32"/>
      <c r="F5" s="32"/>
      <c r="H5" s="35" t="s">
        <v>5</v>
      </c>
      <c r="I5" s="36" t="s">
        <v>7</v>
      </c>
    </row>
    <row r="6" spans="1:26" x14ac:dyDescent="0.25">
      <c r="A6" s="32"/>
      <c r="B6" s="32"/>
      <c r="C6" s="32"/>
      <c r="D6" s="32"/>
      <c r="E6" s="32"/>
      <c r="F6" s="32"/>
      <c r="H6" t="s">
        <v>8</v>
      </c>
      <c r="I6" s="43">
        <f>SUMIFS(Cleaned_Data!$M:$M, Cleaned_Data!$D:$D, $H$5, Cleaned_Data!$B:$B, "&gt;="&amp;H6, Cleaned_Data!$B:$B, "&lt;="&amp;EOMONTH(H6,0), Cleaned_Data!$N:$N, "OK")</f>
        <v>678075</v>
      </c>
    </row>
    <row r="7" spans="1:26" x14ac:dyDescent="0.25">
      <c r="A7" s="32"/>
      <c r="B7" s="32"/>
      <c r="C7" s="32"/>
      <c r="D7" s="32"/>
      <c r="E7" s="32"/>
      <c r="F7" s="32"/>
      <c r="H7" t="s">
        <v>9</v>
      </c>
      <c r="I7" s="43">
        <f>SUMIFS(Cleaned_Data!$M:$M, Cleaned_Data!$D:$D, $H$5, Cleaned_Data!$B:$B, "&gt;="&amp;H7, Cleaned_Data!$B:$B, "&lt;="&amp;EOMONTH(H7,0), Cleaned_Data!$N:$N, "OK")</f>
        <v>350120</v>
      </c>
    </row>
    <row r="8" spans="1:26" x14ac:dyDescent="0.25">
      <c r="A8" s="32"/>
      <c r="B8" s="32"/>
      <c r="C8" s="32"/>
      <c r="D8" s="32"/>
      <c r="E8" s="32"/>
      <c r="F8" s="32"/>
      <c r="H8" t="s">
        <v>10</v>
      </c>
      <c r="I8" s="43">
        <f>SUMIFS(Cleaned_Data!$M:$M, Cleaned_Data!$D:$D, $H$5, Cleaned_Data!$B:$B, "&gt;="&amp;H8, Cleaned_Data!$B:$B, "&lt;="&amp;EOMONTH(H8,0), Cleaned_Data!$N:$N, "OK")</f>
        <v>84670</v>
      </c>
    </row>
    <row r="9" spans="1:26" x14ac:dyDescent="0.25">
      <c r="A9" s="32"/>
      <c r="B9" s="32"/>
      <c r="C9" s="32"/>
      <c r="D9" s="32"/>
      <c r="E9" s="32"/>
      <c r="F9" s="32"/>
      <c r="H9" t="s">
        <v>11</v>
      </c>
      <c r="I9" s="43">
        <f>SUMIFS(Cleaned_Data!$M:$M, Cleaned_Data!$D:$D, $H$5, Cleaned_Data!$B:$B, "&gt;="&amp;H9, Cleaned_Data!$B:$B, "&lt;="&amp;EOMONTH(H9,0), Cleaned_Data!$N:$N, "OK")</f>
        <v>117327.5</v>
      </c>
    </row>
    <row r="10" spans="1:26" x14ac:dyDescent="0.25">
      <c r="A10" s="32"/>
      <c r="B10" s="32"/>
      <c r="C10" s="32"/>
      <c r="D10" s="32"/>
      <c r="E10" s="32"/>
      <c r="F10" s="32"/>
      <c r="H10" t="s">
        <v>12</v>
      </c>
      <c r="I10" s="43">
        <f>SUMIFS(Cleaned_Data!$M:$M, Cleaned_Data!$D:$D, $H$5, Cleaned_Data!$B:$B, "&gt;="&amp;H10, Cleaned_Data!$B:$B, "&lt;="&amp;EOMONTH(H10,0), Cleaned_Data!$N:$N, "OK")</f>
        <v>50690</v>
      </c>
    </row>
    <row r="11" spans="1:26" x14ac:dyDescent="0.25">
      <c r="A11" s="32"/>
      <c r="B11" s="32"/>
      <c r="C11" s="32"/>
      <c r="D11" s="32"/>
      <c r="E11" s="32"/>
      <c r="F11" s="32"/>
      <c r="H11" t="s">
        <v>13</v>
      </c>
      <c r="I11" s="43">
        <f>SUMIFS(Cleaned_Data!$M:$M, Cleaned_Data!$D:$D, $H$5, Cleaned_Data!$B:$B, "&gt;="&amp;H11, Cleaned_Data!$B:$B, "&lt;="&amp;EOMONTH(H11,0), Cleaned_Data!$N:$N, "OK")</f>
        <v>1595310</v>
      </c>
    </row>
    <row r="12" spans="1:26" x14ac:dyDescent="0.25">
      <c r="A12" s="32"/>
      <c r="B12" s="32"/>
      <c r="C12" s="32"/>
      <c r="D12" s="32"/>
      <c r="E12" s="32"/>
      <c r="F12" s="32"/>
    </row>
    <row r="13" spans="1:26" x14ac:dyDescent="0.25">
      <c r="A13" s="32"/>
      <c r="B13" s="32"/>
      <c r="C13" s="32"/>
      <c r="D13" s="32"/>
      <c r="E13" s="32"/>
      <c r="F13" s="32"/>
    </row>
    <row r="14" spans="1:26" x14ac:dyDescent="0.25">
      <c r="A14" s="32"/>
      <c r="B14" s="32"/>
      <c r="C14" s="32"/>
      <c r="D14" s="32"/>
      <c r="E14" s="32"/>
      <c r="F14" s="32"/>
    </row>
    <row r="15" spans="1:26" x14ac:dyDescent="0.25">
      <c r="A15" s="32"/>
      <c r="B15" s="32"/>
      <c r="C15" s="32"/>
      <c r="D15" s="32"/>
      <c r="E15" s="32"/>
      <c r="F15" s="32"/>
    </row>
    <row r="16" spans="1:26" x14ac:dyDescent="0.25">
      <c r="A16" s="32"/>
      <c r="B16" s="32"/>
      <c r="C16" s="32"/>
      <c r="D16" s="32"/>
      <c r="E16" s="32"/>
      <c r="F16" s="32"/>
    </row>
    <row r="17" spans="1:6" x14ac:dyDescent="0.25">
      <c r="A17" s="32"/>
      <c r="B17" s="32"/>
      <c r="C17" s="32"/>
      <c r="D17" s="32"/>
      <c r="E17" s="32"/>
      <c r="F17" s="32"/>
    </row>
    <row r="18" spans="1:6" x14ac:dyDescent="0.25">
      <c r="A18" s="32"/>
      <c r="B18" s="32"/>
      <c r="C18" s="32"/>
      <c r="D18" s="32"/>
      <c r="E18" s="32"/>
      <c r="F18" s="32"/>
    </row>
    <row r="19" spans="1:6" x14ac:dyDescent="0.25">
      <c r="A19" s="32"/>
      <c r="B19" s="32"/>
      <c r="C19" s="32"/>
      <c r="D19" s="32"/>
      <c r="E19" s="32"/>
      <c r="F19" s="32"/>
    </row>
    <row r="20" spans="1:6" x14ac:dyDescent="0.25">
      <c r="A20" s="32"/>
      <c r="B20" s="32"/>
      <c r="C20" s="32"/>
      <c r="D20" s="32"/>
      <c r="E20" s="32"/>
      <c r="F20" s="32"/>
    </row>
    <row r="21" spans="1:6" x14ac:dyDescent="0.25">
      <c r="A21" s="32"/>
      <c r="B21" s="32"/>
      <c r="C21" s="32"/>
      <c r="D21" s="32"/>
      <c r="E21" s="32"/>
      <c r="F21" s="32"/>
    </row>
    <row r="22" spans="1:6" x14ac:dyDescent="0.25">
      <c r="A22" s="32"/>
      <c r="B22" s="32"/>
      <c r="C22" s="32"/>
      <c r="D22" s="32"/>
      <c r="E22" s="32"/>
      <c r="F22" s="32"/>
    </row>
    <row r="23" spans="1:6" x14ac:dyDescent="0.25">
      <c r="A23" s="32"/>
      <c r="B23" s="32"/>
      <c r="C23" s="32"/>
      <c r="D23" s="32"/>
      <c r="E23" s="32"/>
      <c r="F23" s="32"/>
    </row>
    <row r="24" spans="1:6" x14ac:dyDescent="0.25">
      <c r="A24" s="32"/>
      <c r="B24" s="32"/>
      <c r="C24" s="32"/>
      <c r="D24" s="32"/>
      <c r="E24" s="32"/>
      <c r="F24" s="32"/>
    </row>
    <row r="25" spans="1:6" x14ac:dyDescent="0.25">
      <c r="A25" s="32"/>
      <c r="B25" s="32"/>
      <c r="C25" s="32"/>
      <c r="D25" s="32"/>
      <c r="E25" s="32"/>
      <c r="F25" s="32"/>
    </row>
    <row r="26" spans="1:6" x14ac:dyDescent="0.25">
      <c r="A26" s="32"/>
      <c r="B26" s="32"/>
      <c r="C26" s="32"/>
      <c r="D26" s="32"/>
      <c r="E26" s="32"/>
      <c r="F26" s="32"/>
    </row>
    <row r="27" spans="1:6" x14ac:dyDescent="0.25">
      <c r="A27" s="32"/>
      <c r="B27" s="32"/>
      <c r="C27" s="32"/>
      <c r="D27" s="32"/>
      <c r="E27" s="32"/>
      <c r="F27" s="32"/>
    </row>
    <row r="28" spans="1:6" x14ac:dyDescent="0.25">
      <c r="A28" s="32"/>
      <c r="B28" s="32"/>
      <c r="C28" s="32"/>
      <c r="D28" s="32"/>
      <c r="E28" s="32"/>
      <c r="F28" s="32"/>
    </row>
    <row r="29" spans="1:6" x14ac:dyDescent="0.25">
      <c r="A29" s="32"/>
      <c r="B29" s="32"/>
      <c r="C29" s="32"/>
      <c r="D29" s="32"/>
      <c r="E29" s="32"/>
      <c r="F29" s="32"/>
    </row>
    <row r="30" spans="1:6" x14ac:dyDescent="0.25">
      <c r="A30" s="32"/>
      <c r="B30" s="32"/>
      <c r="C30" s="32"/>
      <c r="D30" s="32"/>
      <c r="E30" s="32"/>
      <c r="F30" s="32"/>
    </row>
    <row r="31" spans="1:6" x14ac:dyDescent="0.25">
      <c r="A31" s="32"/>
      <c r="B31" s="32"/>
      <c r="C31" s="32"/>
      <c r="D31" s="32"/>
      <c r="E31" s="32"/>
      <c r="F31" s="32"/>
    </row>
    <row r="32" spans="1:6" x14ac:dyDescent="0.25">
      <c r="A32" s="32"/>
      <c r="B32" s="32"/>
      <c r="C32" s="32"/>
      <c r="D32" s="32"/>
      <c r="E32" s="32"/>
      <c r="F32" s="32"/>
    </row>
    <row r="33" spans="1:6" x14ac:dyDescent="0.25">
      <c r="A33" s="32"/>
      <c r="B33" s="32"/>
      <c r="C33" s="32"/>
      <c r="D33" s="32"/>
      <c r="E33" s="32"/>
      <c r="F33" s="32"/>
    </row>
    <row r="34" spans="1:6" x14ac:dyDescent="0.25">
      <c r="A34" s="32"/>
      <c r="B34" s="32"/>
      <c r="C34" s="32"/>
      <c r="D34" s="32"/>
      <c r="E34" s="32"/>
      <c r="F34" s="32"/>
    </row>
    <row r="35" spans="1:6" x14ac:dyDescent="0.25">
      <c r="D35" s="32"/>
      <c r="E35" s="32"/>
      <c r="F35" s="32"/>
    </row>
  </sheetData>
  <dataValidations count="1">
    <dataValidation type="list" allowBlank="1" showInputMessage="1" showErrorMessage="1" sqref="H5" xr:uid="{00000000-0002-0000-0900-000000000000}">
      <formula1>"North, South, East, West, Central"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Raw_Data</vt:lpstr>
      <vt:lpstr>Reps</vt:lpstr>
      <vt:lpstr>Targets</vt:lpstr>
      <vt:lpstr>Cleaned_Data</vt:lpstr>
      <vt:lpstr>Analysis</vt:lpstr>
      <vt:lpstr>Pivot false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Anand</cp:lastModifiedBy>
  <dcterms:created xsi:type="dcterms:W3CDTF">2026-05-12T09:50:15Z</dcterms:created>
  <dcterms:modified xsi:type="dcterms:W3CDTF">2026-05-26T19:23:32Z</dcterms:modified>
</cp:coreProperties>
</file>